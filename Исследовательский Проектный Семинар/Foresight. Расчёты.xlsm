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Natil\OneDrive\Desktop\"/>
    </mc:Choice>
  </mc:AlternateContent>
  <bookViews>
    <workbookView xWindow="240" yWindow="12" windowWidth="16092" windowHeight="9660" activeTab="1"/>
  </bookViews>
  <sheets>
    <sheet name="Парсинг" sheetId="1" r:id="rId1"/>
    <sheet name="Расчёты" sheetId="2" r:id="rId2"/>
  </sheets>
  <functionGroups builtInGroupCount="18"/>
  <definedNames>
    <definedName name="_xlnm._FilterDatabase" localSheetId="1" hidden="1">Расчёты!$Z$2:$AH$363</definedName>
  </definedNames>
  <calcPr calcId="152511"/>
</workbook>
</file>

<file path=xl/calcChain.xml><?xml version="1.0" encoding="utf-8"?>
<calcChain xmlns="http://schemas.openxmlformats.org/spreadsheetml/2006/main">
  <c r="AS165" i="2" l="1"/>
  <c r="AS164" i="2"/>
  <c r="AS163" i="2"/>
  <c r="AS162" i="2"/>
  <c r="AS161" i="2"/>
  <c r="AS160" i="2"/>
  <c r="AS159" i="2"/>
  <c r="AS158" i="2"/>
  <c r="AS157" i="2"/>
  <c r="AS156" i="2"/>
  <c r="AS155" i="2"/>
  <c r="AS154" i="2"/>
  <c r="AS153" i="2"/>
  <c r="AS152" i="2"/>
  <c r="AS151" i="2"/>
  <c r="AS150" i="2"/>
  <c r="AS149" i="2"/>
  <c r="AS148" i="2"/>
  <c r="AS147" i="2"/>
  <c r="AS146" i="2"/>
  <c r="AS145" i="2"/>
  <c r="AS144" i="2"/>
  <c r="AS143" i="2"/>
  <c r="AS142" i="2"/>
  <c r="AS141" i="2"/>
  <c r="AS140" i="2"/>
  <c r="AS139" i="2"/>
  <c r="AS138" i="2"/>
  <c r="AS137" i="2"/>
  <c r="AS136" i="2"/>
  <c r="AS135" i="2"/>
  <c r="AS134" i="2"/>
  <c r="AS133" i="2"/>
  <c r="AS132" i="2"/>
  <c r="AS131" i="2"/>
  <c r="AS130" i="2"/>
  <c r="AS129" i="2"/>
  <c r="AS128" i="2"/>
  <c r="AS127" i="2"/>
  <c r="AS126" i="2"/>
  <c r="AS125" i="2"/>
  <c r="AS124" i="2"/>
  <c r="AS123" i="2"/>
  <c r="AS122" i="2"/>
  <c r="AS121" i="2"/>
  <c r="AS120" i="2"/>
  <c r="AS119" i="2"/>
  <c r="AS118" i="2"/>
  <c r="AS117" i="2"/>
  <c r="AS116" i="2"/>
  <c r="AS115" i="2"/>
  <c r="AS114" i="2"/>
  <c r="AS113" i="2"/>
  <c r="AS112" i="2"/>
  <c r="AS111" i="2"/>
  <c r="AS110" i="2"/>
  <c r="AS109" i="2"/>
  <c r="AS108" i="2"/>
  <c r="AS107" i="2"/>
  <c r="AS106" i="2"/>
  <c r="AS105" i="2"/>
  <c r="AS104" i="2"/>
  <c r="AS103" i="2"/>
  <c r="AS102" i="2"/>
  <c r="AS101" i="2"/>
  <c r="AS100" i="2"/>
  <c r="AS99" i="2"/>
  <c r="AS98" i="2"/>
  <c r="AS97" i="2"/>
  <c r="AS96" i="2"/>
  <c r="AS95" i="2"/>
  <c r="AS94" i="2"/>
  <c r="AS93" i="2"/>
  <c r="AS92" i="2"/>
  <c r="AS91" i="2"/>
  <c r="AS90" i="2"/>
  <c r="AS89" i="2"/>
  <c r="AS88" i="2"/>
  <c r="AS87" i="2"/>
  <c r="AS86" i="2"/>
  <c r="AS85" i="2"/>
  <c r="AS84" i="2"/>
  <c r="AS83" i="2"/>
  <c r="AS82" i="2"/>
  <c r="AS81" i="2"/>
  <c r="AS80" i="2"/>
  <c r="AS79" i="2"/>
  <c r="AS78" i="2"/>
  <c r="AS77" i="2"/>
  <c r="AS76" i="2"/>
  <c r="AS75" i="2"/>
  <c r="AS74" i="2"/>
  <c r="AS73" i="2"/>
  <c r="AS72" i="2"/>
  <c r="AS71" i="2"/>
  <c r="AS70" i="2"/>
  <c r="AS69" i="2"/>
  <c r="AS68" i="2"/>
  <c r="AS67" i="2"/>
  <c r="AS66" i="2"/>
  <c r="AS65" i="2"/>
  <c r="AS64" i="2"/>
  <c r="AS63" i="2"/>
  <c r="AS62" i="2"/>
  <c r="AS61" i="2"/>
  <c r="AS60" i="2"/>
  <c r="AS59" i="2"/>
  <c r="AS58" i="2"/>
  <c r="AS57" i="2"/>
  <c r="AS56" i="2"/>
  <c r="AS55" i="2"/>
  <c r="AS54" i="2"/>
  <c r="AS53" i="2"/>
  <c r="AS52" i="2"/>
  <c r="AS51" i="2"/>
  <c r="AS50" i="2"/>
  <c r="AS49" i="2"/>
  <c r="AS48" i="2"/>
  <c r="AS47" i="2"/>
  <c r="AS46" i="2"/>
  <c r="AS45" i="2"/>
  <c r="AS44" i="2"/>
  <c r="AS43" i="2"/>
  <c r="AS42" i="2"/>
  <c r="AS41" i="2"/>
  <c r="AS40" i="2"/>
  <c r="AS39" i="2"/>
  <c r="AS38" i="2"/>
  <c r="AS37" i="2"/>
  <c r="AS36" i="2"/>
  <c r="AS35" i="2"/>
  <c r="AS34" i="2"/>
  <c r="AS33" i="2"/>
  <c r="AS32" i="2"/>
  <c r="AS31" i="2"/>
  <c r="AS30" i="2"/>
  <c r="AS29" i="2"/>
  <c r="AS28" i="2"/>
  <c r="AS27" i="2"/>
  <c r="AS26" i="2"/>
  <c r="AS25" i="2"/>
  <c r="AS24" i="2"/>
  <c r="AS23" i="2"/>
  <c r="AS22" i="2"/>
  <c r="AS21" i="2"/>
  <c r="AS20" i="2"/>
  <c r="AS19" i="2"/>
  <c r="AS18" i="2"/>
  <c r="AS17" i="2"/>
  <c r="AS16" i="2"/>
  <c r="AS15" i="2"/>
  <c r="AS14" i="2"/>
  <c r="AS13" i="2"/>
  <c r="AS12" i="2"/>
  <c r="AS11" i="2"/>
  <c r="AS10" i="2"/>
  <c r="AS9" i="2"/>
  <c r="AS8" i="2"/>
  <c r="AS7" i="2"/>
  <c r="AS6" i="2"/>
  <c r="AS5" i="2"/>
  <c r="AS4" i="2"/>
  <c r="AS3" i="2"/>
  <c r="AS2" i="2"/>
  <c r="L432" i="2"/>
  <c r="N429" i="2"/>
  <c r="N428" i="2"/>
  <c r="D378" i="2" l="1"/>
  <c r="C378" i="2"/>
  <c r="B378" i="2"/>
  <c r="E370" i="2" l="1"/>
  <c r="E369" i="2"/>
  <c r="E368" i="2"/>
  <c r="E364" i="2" l="1"/>
  <c r="AI3" i="2"/>
  <c r="AJ3" i="2" s="1"/>
  <c r="AI4" i="2"/>
  <c r="AI5" i="2"/>
  <c r="Y371" i="2" s="1"/>
  <c r="AI6" i="2"/>
  <c r="AJ6" i="2" s="1"/>
  <c r="AI7" i="2"/>
  <c r="AJ7" i="2" s="1"/>
  <c r="AI8" i="2"/>
  <c r="Y367" i="2" s="1"/>
  <c r="AI9" i="2"/>
  <c r="AJ9" i="2" s="1"/>
  <c r="AI10" i="2"/>
  <c r="AJ10" i="2" s="1"/>
  <c r="AI11" i="2"/>
  <c r="AJ11" i="2" s="1"/>
  <c r="AI12" i="2"/>
  <c r="AJ12" i="2" s="1"/>
  <c r="AI13" i="2"/>
  <c r="AJ13" i="2" s="1"/>
  <c r="AI14" i="2"/>
  <c r="AJ14" i="2" s="1"/>
  <c r="AI15" i="2"/>
  <c r="AJ15" i="2" s="1"/>
  <c r="AI16" i="2"/>
  <c r="AJ16" i="2" s="1"/>
  <c r="AI17" i="2"/>
  <c r="AJ17" i="2" s="1"/>
  <c r="AI18" i="2"/>
  <c r="AJ18" i="2" s="1"/>
  <c r="AI19" i="2"/>
  <c r="AJ19" i="2" s="1"/>
  <c r="AI20" i="2"/>
  <c r="AJ20" i="2" s="1"/>
  <c r="AI21" i="2"/>
  <c r="AJ21" i="2" s="1"/>
  <c r="AI22" i="2"/>
  <c r="AJ22" i="2" s="1"/>
  <c r="AI23" i="2"/>
  <c r="AJ23" i="2" s="1"/>
  <c r="AI24" i="2"/>
  <c r="AJ24" i="2" s="1"/>
  <c r="AI25" i="2"/>
  <c r="AJ25" i="2" s="1"/>
  <c r="AI26" i="2"/>
  <c r="AJ26" i="2" s="1"/>
  <c r="AI27" i="2"/>
  <c r="AJ27" i="2" s="1"/>
  <c r="AI28" i="2"/>
  <c r="AJ28" i="2" s="1"/>
  <c r="AI29" i="2"/>
  <c r="AJ29" i="2" s="1"/>
  <c r="AI30" i="2"/>
  <c r="AJ30" i="2" s="1"/>
  <c r="AI31" i="2"/>
  <c r="AJ31" i="2" s="1"/>
  <c r="AI32" i="2"/>
  <c r="AJ32" i="2" s="1"/>
  <c r="AI33" i="2"/>
  <c r="AJ33" i="2" s="1"/>
  <c r="AI34" i="2"/>
  <c r="AJ34" i="2" s="1"/>
  <c r="AI35" i="2"/>
  <c r="AJ35" i="2" s="1"/>
  <c r="AI36" i="2"/>
  <c r="AJ36" i="2" s="1"/>
  <c r="AI37" i="2"/>
  <c r="AJ37" i="2" s="1"/>
  <c r="AI38" i="2"/>
  <c r="AJ38" i="2" s="1"/>
  <c r="AI39" i="2"/>
  <c r="AJ39" i="2" s="1"/>
  <c r="AI40" i="2"/>
  <c r="AJ40" i="2" s="1"/>
  <c r="AI41" i="2"/>
  <c r="AJ41" i="2" s="1"/>
  <c r="AI42" i="2"/>
  <c r="AJ42" i="2" s="1"/>
  <c r="AI43" i="2"/>
  <c r="AJ43" i="2" s="1"/>
  <c r="AI44" i="2"/>
  <c r="AJ44" i="2" s="1"/>
  <c r="AI45" i="2"/>
  <c r="AJ45" i="2" s="1"/>
  <c r="AI46" i="2"/>
  <c r="AJ46" i="2" s="1"/>
  <c r="AI47" i="2"/>
  <c r="AJ47" i="2" s="1"/>
  <c r="AI48" i="2"/>
  <c r="AJ48" i="2" s="1"/>
  <c r="AI49" i="2"/>
  <c r="AJ49" i="2" s="1"/>
  <c r="AI50" i="2"/>
  <c r="AJ50" i="2" s="1"/>
  <c r="AI51" i="2"/>
  <c r="AJ51" i="2" s="1"/>
  <c r="AI52" i="2"/>
  <c r="AJ52" i="2" s="1"/>
  <c r="AI53" i="2"/>
  <c r="AJ53" i="2" s="1"/>
  <c r="AI54" i="2"/>
  <c r="AJ54" i="2" s="1"/>
  <c r="AI55" i="2"/>
  <c r="AJ55" i="2" s="1"/>
  <c r="AI56" i="2"/>
  <c r="AJ56" i="2" s="1"/>
  <c r="AI57" i="2"/>
  <c r="AJ57" i="2" s="1"/>
  <c r="AI58" i="2"/>
  <c r="AJ58" i="2" s="1"/>
  <c r="AI59" i="2"/>
  <c r="AJ59" i="2" s="1"/>
  <c r="AI60" i="2"/>
  <c r="AJ60" i="2" s="1"/>
  <c r="AI61" i="2"/>
  <c r="AJ61" i="2" s="1"/>
  <c r="AI62" i="2"/>
  <c r="AJ62" i="2" s="1"/>
  <c r="AI63" i="2"/>
  <c r="AJ63" i="2" s="1"/>
  <c r="AI64" i="2"/>
  <c r="AJ64" i="2" s="1"/>
  <c r="AI65" i="2"/>
  <c r="AJ65" i="2" s="1"/>
  <c r="AI66" i="2"/>
  <c r="AJ66" i="2" s="1"/>
  <c r="AI67" i="2"/>
  <c r="AJ67" i="2" s="1"/>
  <c r="AI68" i="2"/>
  <c r="AJ68" i="2" s="1"/>
  <c r="AI69" i="2"/>
  <c r="AJ69" i="2" s="1"/>
  <c r="AI70" i="2"/>
  <c r="AJ70" i="2" s="1"/>
  <c r="AI71" i="2"/>
  <c r="AJ71" i="2" s="1"/>
  <c r="AI72" i="2"/>
  <c r="AJ72" i="2" s="1"/>
  <c r="AI73" i="2"/>
  <c r="AJ73" i="2" s="1"/>
  <c r="AI74" i="2"/>
  <c r="AJ74" i="2" s="1"/>
  <c r="AI75" i="2"/>
  <c r="AJ75" i="2" s="1"/>
  <c r="AI76" i="2"/>
  <c r="AJ76" i="2" s="1"/>
  <c r="AI77" i="2"/>
  <c r="AJ77" i="2" s="1"/>
  <c r="AI78" i="2"/>
  <c r="AJ78" i="2" s="1"/>
  <c r="AI79" i="2"/>
  <c r="AJ79" i="2" s="1"/>
  <c r="AI80" i="2"/>
  <c r="AJ80" i="2" s="1"/>
  <c r="AI81" i="2"/>
  <c r="AJ81" i="2" s="1"/>
  <c r="AI82" i="2"/>
  <c r="AJ82" i="2" s="1"/>
  <c r="AI83" i="2"/>
  <c r="AJ83" i="2" s="1"/>
  <c r="AI84" i="2"/>
  <c r="AJ84" i="2" s="1"/>
  <c r="AI85" i="2"/>
  <c r="AJ85" i="2" s="1"/>
  <c r="AI86" i="2"/>
  <c r="AJ86" i="2" s="1"/>
  <c r="AI87" i="2"/>
  <c r="AJ87" i="2" s="1"/>
  <c r="AI88" i="2"/>
  <c r="AJ88" i="2" s="1"/>
  <c r="AI89" i="2"/>
  <c r="AJ89" i="2" s="1"/>
  <c r="AI90" i="2"/>
  <c r="AJ90" i="2" s="1"/>
  <c r="AI91" i="2"/>
  <c r="AJ91" i="2" s="1"/>
  <c r="AI92" i="2"/>
  <c r="AJ92" i="2" s="1"/>
  <c r="AI93" i="2"/>
  <c r="AJ93" i="2" s="1"/>
  <c r="AI94" i="2"/>
  <c r="AJ94" i="2" s="1"/>
  <c r="AI95" i="2"/>
  <c r="AJ95" i="2" s="1"/>
  <c r="AI96" i="2"/>
  <c r="AJ96" i="2" s="1"/>
  <c r="AI97" i="2"/>
  <c r="AJ97" i="2" s="1"/>
  <c r="AI98" i="2"/>
  <c r="AJ98" i="2" s="1"/>
  <c r="AI99" i="2"/>
  <c r="AJ99" i="2" s="1"/>
  <c r="AI100" i="2"/>
  <c r="AJ100" i="2" s="1"/>
  <c r="AI101" i="2"/>
  <c r="AJ101" i="2" s="1"/>
  <c r="AI102" i="2"/>
  <c r="AJ102" i="2" s="1"/>
  <c r="AI103" i="2"/>
  <c r="AJ103" i="2" s="1"/>
  <c r="AI104" i="2"/>
  <c r="AJ104" i="2" s="1"/>
  <c r="AI105" i="2"/>
  <c r="AJ105" i="2" s="1"/>
  <c r="AI106" i="2"/>
  <c r="AJ106" i="2" s="1"/>
  <c r="AI107" i="2"/>
  <c r="AJ107" i="2" s="1"/>
  <c r="AI108" i="2"/>
  <c r="AJ108" i="2" s="1"/>
  <c r="AI109" i="2"/>
  <c r="AJ109" i="2" s="1"/>
  <c r="AI110" i="2"/>
  <c r="AJ110" i="2" s="1"/>
  <c r="AI111" i="2"/>
  <c r="AJ111" i="2" s="1"/>
  <c r="AI112" i="2"/>
  <c r="AJ112" i="2" s="1"/>
  <c r="AI113" i="2"/>
  <c r="AJ113" i="2" s="1"/>
  <c r="AI114" i="2"/>
  <c r="AJ114" i="2" s="1"/>
  <c r="AI115" i="2"/>
  <c r="AJ115" i="2" s="1"/>
  <c r="AI116" i="2"/>
  <c r="AJ116" i="2" s="1"/>
  <c r="AI117" i="2"/>
  <c r="AJ117" i="2" s="1"/>
  <c r="AI118" i="2"/>
  <c r="AJ118" i="2" s="1"/>
  <c r="AI119" i="2"/>
  <c r="AJ119" i="2" s="1"/>
  <c r="AI120" i="2"/>
  <c r="AJ120" i="2" s="1"/>
  <c r="AI121" i="2"/>
  <c r="AJ121" i="2" s="1"/>
  <c r="AI122" i="2"/>
  <c r="AJ122" i="2" s="1"/>
  <c r="AI123" i="2"/>
  <c r="AJ123" i="2" s="1"/>
  <c r="AI124" i="2"/>
  <c r="AJ124" i="2" s="1"/>
  <c r="AI125" i="2"/>
  <c r="AJ125" i="2" s="1"/>
  <c r="AI126" i="2"/>
  <c r="AJ126" i="2" s="1"/>
  <c r="AI127" i="2"/>
  <c r="AJ127" i="2" s="1"/>
  <c r="AI128" i="2"/>
  <c r="AJ128" i="2" s="1"/>
  <c r="AI129" i="2"/>
  <c r="AJ129" i="2" s="1"/>
  <c r="AI130" i="2"/>
  <c r="AJ130" i="2" s="1"/>
  <c r="AI131" i="2"/>
  <c r="AJ131" i="2" s="1"/>
  <c r="AI132" i="2"/>
  <c r="AJ132" i="2" s="1"/>
  <c r="AI133" i="2"/>
  <c r="AJ133" i="2" s="1"/>
  <c r="AI134" i="2"/>
  <c r="AJ134" i="2" s="1"/>
  <c r="AI135" i="2"/>
  <c r="AJ135" i="2" s="1"/>
  <c r="AI136" i="2"/>
  <c r="AJ136" i="2" s="1"/>
  <c r="AI137" i="2"/>
  <c r="AJ137" i="2" s="1"/>
  <c r="AI138" i="2"/>
  <c r="AJ138" i="2" s="1"/>
  <c r="AI139" i="2"/>
  <c r="AJ139" i="2" s="1"/>
  <c r="AI140" i="2"/>
  <c r="AJ140" i="2" s="1"/>
  <c r="AI141" i="2"/>
  <c r="AJ141" i="2" s="1"/>
  <c r="AI142" i="2"/>
  <c r="AJ142" i="2" s="1"/>
  <c r="AI143" i="2"/>
  <c r="AJ143" i="2" s="1"/>
  <c r="AI144" i="2"/>
  <c r="AJ144" i="2" s="1"/>
  <c r="AI145" i="2"/>
  <c r="AJ145" i="2" s="1"/>
  <c r="AI146" i="2"/>
  <c r="AJ146" i="2" s="1"/>
  <c r="AI147" i="2"/>
  <c r="AJ147" i="2" s="1"/>
  <c r="AI148" i="2"/>
  <c r="AJ148" i="2" s="1"/>
  <c r="AI149" i="2"/>
  <c r="AJ149" i="2" s="1"/>
  <c r="AI150" i="2"/>
  <c r="AJ150" i="2" s="1"/>
  <c r="AI151" i="2"/>
  <c r="AJ151" i="2" s="1"/>
  <c r="AI152" i="2"/>
  <c r="AJ152" i="2" s="1"/>
  <c r="AI153" i="2"/>
  <c r="AJ153" i="2" s="1"/>
  <c r="AI154" i="2"/>
  <c r="AJ154" i="2" s="1"/>
  <c r="AI155" i="2"/>
  <c r="AJ155" i="2" s="1"/>
  <c r="AI156" i="2"/>
  <c r="AJ156" i="2" s="1"/>
  <c r="AI157" i="2"/>
  <c r="AJ157" i="2" s="1"/>
  <c r="AI158" i="2"/>
  <c r="AJ158" i="2" s="1"/>
  <c r="AI159" i="2"/>
  <c r="AJ159" i="2" s="1"/>
  <c r="AI160" i="2"/>
  <c r="AJ160" i="2" s="1"/>
  <c r="AI161" i="2"/>
  <c r="AJ161" i="2" s="1"/>
  <c r="AI162" i="2"/>
  <c r="AJ162" i="2" s="1"/>
  <c r="AI163" i="2"/>
  <c r="AJ163" i="2" s="1"/>
  <c r="AI164" i="2"/>
  <c r="AJ164" i="2" s="1"/>
  <c r="AI165" i="2"/>
  <c r="AJ165" i="2" s="1"/>
  <c r="AI166" i="2"/>
  <c r="AJ166" i="2" s="1"/>
  <c r="AI167" i="2"/>
  <c r="AJ167" i="2" s="1"/>
  <c r="AI168" i="2"/>
  <c r="AJ168" i="2" s="1"/>
  <c r="AI169" i="2"/>
  <c r="AJ169" i="2" s="1"/>
  <c r="AI170" i="2"/>
  <c r="AJ170" i="2" s="1"/>
  <c r="AI171" i="2"/>
  <c r="AJ171" i="2" s="1"/>
  <c r="AI172" i="2"/>
  <c r="AJ172" i="2" s="1"/>
  <c r="AI173" i="2"/>
  <c r="AJ173" i="2" s="1"/>
  <c r="AI174" i="2"/>
  <c r="AJ174" i="2" s="1"/>
  <c r="AI175" i="2"/>
  <c r="AJ175" i="2" s="1"/>
  <c r="AI176" i="2"/>
  <c r="AJ176" i="2" s="1"/>
  <c r="AI177" i="2"/>
  <c r="AJ177" i="2" s="1"/>
  <c r="AI178" i="2"/>
  <c r="AJ178" i="2" s="1"/>
  <c r="AI179" i="2"/>
  <c r="AJ179" i="2" s="1"/>
  <c r="AI180" i="2"/>
  <c r="AJ180" i="2" s="1"/>
  <c r="AI181" i="2"/>
  <c r="AJ181" i="2" s="1"/>
  <c r="AI182" i="2"/>
  <c r="AJ182" i="2" s="1"/>
  <c r="AI183" i="2"/>
  <c r="AJ183" i="2" s="1"/>
  <c r="AI184" i="2"/>
  <c r="AJ184" i="2" s="1"/>
  <c r="AI185" i="2"/>
  <c r="AJ185" i="2" s="1"/>
  <c r="AI186" i="2"/>
  <c r="AJ186" i="2" s="1"/>
  <c r="AI187" i="2"/>
  <c r="AJ187" i="2" s="1"/>
  <c r="AI188" i="2"/>
  <c r="AJ188" i="2" s="1"/>
  <c r="AI189" i="2"/>
  <c r="AJ189" i="2" s="1"/>
  <c r="AI190" i="2"/>
  <c r="AJ190" i="2" s="1"/>
  <c r="AI191" i="2"/>
  <c r="AJ191" i="2" s="1"/>
  <c r="AI192" i="2"/>
  <c r="AJ192" i="2" s="1"/>
  <c r="AI193" i="2"/>
  <c r="AJ193" i="2" s="1"/>
  <c r="AI194" i="2"/>
  <c r="AJ194" i="2" s="1"/>
  <c r="AI195" i="2"/>
  <c r="AJ195" i="2" s="1"/>
  <c r="AI196" i="2"/>
  <c r="AJ196" i="2" s="1"/>
  <c r="AI197" i="2"/>
  <c r="AJ197" i="2" s="1"/>
  <c r="AI198" i="2"/>
  <c r="AJ198" i="2" s="1"/>
  <c r="AI199" i="2"/>
  <c r="AJ199" i="2" s="1"/>
  <c r="AI200" i="2"/>
  <c r="AJ200" i="2" s="1"/>
  <c r="AI201" i="2"/>
  <c r="AJ201" i="2" s="1"/>
  <c r="AI202" i="2"/>
  <c r="AJ202" i="2" s="1"/>
  <c r="AI203" i="2"/>
  <c r="AJ203" i="2" s="1"/>
  <c r="AI204" i="2"/>
  <c r="AJ204" i="2" s="1"/>
  <c r="AI205" i="2"/>
  <c r="AJ205" i="2" s="1"/>
  <c r="AI206" i="2"/>
  <c r="AJ206" i="2" s="1"/>
  <c r="AI207" i="2"/>
  <c r="AJ207" i="2" s="1"/>
  <c r="AI208" i="2"/>
  <c r="AJ208" i="2" s="1"/>
  <c r="AI209" i="2"/>
  <c r="AJ209" i="2" s="1"/>
  <c r="AI210" i="2"/>
  <c r="AJ210" i="2" s="1"/>
  <c r="AI211" i="2"/>
  <c r="AJ211" i="2" s="1"/>
  <c r="AI212" i="2"/>
  <c r="AJ212" i="2" s="1"/>
  <c r="AI213" i="2"/>
  <c r="AJ213" i="2" s="1"/>
  <c r="AI214" i="2"/>
  <c r="AJ214" i="2" s="1"/>
  <c r="AI215" i="2"/>
  <c r="AJ215" i="2" s="1"/>
  <c r="AI216" i="2"/>
  <c r="AJ216" i="2" s="1"/>
  <c r="AI217" i="2"/>
  <c r="AJ217" i="2" s="1"/>
  <c r="AI218" i="2"/>
  <c r="AJ218" i="2" s="1"/>
  <c r="AI219" i="2"/>
  <c r="AJ219" i="2" s="1"/>
  <c r="AI220" i="2"/>
  <c r="AJ220" i="2" s="1"/>
  <c r="AI221" i="2"/>
  <c r="AJ221" i="2" s="1"/>
  <c r="AI222" i="2"/>
  <c r="AJ222" i="2" s="1"/>
  <c r="AI223" i="2"/>
  <c r="AJ223" i="2" s="1"/>
  <c r="AI224" i="2"/>
  <c r="AJ224" i="2" s="1"/>
  <c r="AI225" i="2"/>
  <c r="AJ225" i="2" s="1"/>
  <c r="AI226" i="2"/>
  <c r="AJ226" i="2" s="1"/>
  <c r="AI227" i="2"/>
  <c r="AJ227" i="2" s="1"/>
  <c r="AI228" i="2"/>
  <c r="AJ228" i="2" s="1"/>
  <c r="AI229" i="2"/>
  <c r="AJ229" i="2" s="1"/>
  <c r="AI230" i="2"/>
  <c r="AJ230" i="2" s="1"/>
  <c r="AI231" i="2"/>
  <c r="AJ231" i="2" s="1"/>
  <c r="AI232" i="2"/>
  <c r="AJ232" i="2" s="1"/>
  <c r="AI233" i="2"/>
  <c r="AJ233" i="2" s="1"/>
  <c r="AI234" i="2"/>
  <c r="AJ234" i="2" s="1"/>
  <c r="AI235" i="2"/>
  <c r="AJ235" i="2" s="1"/>
  <c r="AI236" i="2"/>
  <c r="AJ236" i="2" s="1"/>
  <c r="AI237" i="2"/>
  <c r="AJ237" i="2" s="1"/>
  <c r="AI238" i="2"/>
  <c r="AJ238" i="2" s="1"/>
  <c r="AI239" i="2"/>
  <c r="AJ239" i="2" s="1"/>
  <c r="AI240" i="2"/>
  <c r="AJ240" i="2" s="1"/>
  <c r="AI241" i="2"/>
  <c r="AJ241" i="2" s="1"/>
  <c r="AI242" i="2"/>
  <c r="AJ242" i="2" s="1"/>
  <c r="AI243" i="2"/>
  <c r="AJ243" i="2" s="1"/>
  <c r="AI244" i="2"/>
  <c r="AJ244" i="2" s="1"/>
  <c r="AI245" i="2"/>
  <c r="AJ245" i="2" s="1"/>
  <c r="AI246" i="2"/>
  <c r="AJ246" i="2" s="1"/>
  <c r="AI247" i="2"/>
  <c r="AJ247" i="2" s="1"/>
  <c r="AI248" i="2"/>
  <c r="AJ248" i="2" s="1"/>
  <c r="AI249" i="2"/>
  <c r="AJ249" i="2" s="1"/>
  <c r="AI250" i="2"/>
  <c r="AJ250" i="2" s="1"/>
  <c r="AI251" i="2"/>
  <c r="AJ251" i="2" s="1"/>
  <c r="AI252" i="2"/>
  <c r="AJ252" i="2" s="1"/>
  <c r="AI253" i="2"/>
  <c r="AJ253" i="2" s="1"/>
  <c r="AI254" i="2"/>
  <c r="AJ254" i="2" s="1"/>
  <c r="AI255" i="2"/>
  <c r="AJ255" i="2" s="1"/>
  <c r="AI256" i="2"/>
  <c r="AJ256" i="2" s="1"/>
  <c r="AI257" i="2"/>
  <c r="AJ257" i="2" s="1"/>
  <c r="AI258" i="2"/>
  <c r="AJ258" i="2" s="1"/>
  <c r="AI259" i="2"/>
  <c r="AJ259" i="2" s="1"/>
  <c r="AI260" i="2"/>
  <c r="AJ260" i="2" s="1"/>
  <c r="AI261" i="2"/>
  <c r="AJ261" i="2" s="1"/>
  <c r="AI262" i="2"/>
  <c r="AJ262" i="2" s="1"/>
  <c r="AI263" i="2"/>
  <c r="AJ263" i="2" s="1"/>
  <c r="AI264" i="2"/>
  <c r="AJ264" i="2" s="1"/>
  <c r="AI265" i="2"/>
  <c r="AJ265" i="2" s="1"/>
  <c r="AI266" i="2"/>
  <c r="AJ266" i="2" s="1"/>
  <c r="AI267" i="2"/>
  <c r="AJ267" i="2" s="1"/>
  <c r="AI268" i="2"/>
  <c r="AJ268" i="2" s="1"/>
  <c r="AI269" i="2"/>
  <c r="AJ269" i="2" s="1"/>
  <c r="AI270" i="2"/>
  <c r="AJ270" i="2" s="1"/>
  <c r="AI271" i="2"/>
  <c r="AJ271" i="2" s="1"/>
  <c r="AI272" i="2"/>
  <c r="AJ272" i="2" s="1"/>
  <c r="AI273" i="2"/>
  <c r="AJ273" i="2" s="1"/>
  <c r="AI274" i="2"/>
  <c r="AJ274" i="2" s="1"/>
  <c r="AI275" i="2"/>
  <c r="AJ275" i="2" s="1"/>
  <c r="AI276" i="2"/>
  <c r="AJ276" i="2" s="1"/>
  <c r="AI277" i="2"/>
  <c r="AJ277" i="2" s="1"/>
  <c r="AI278" i="2"/>
  <c r="AJ278" i="2" s="1"/>
  <c r="AI279" i="2"/>
  <c r="AJ279" i="2" s="1"/>
  <c r="AI280" i="2"/>
  <c r="AJ280" i="2" s="1"/>
  <c r="AI281" i="2"/>
  <c r="AJ281" i="2" s="1"/>
  <c r="AI282" i="2"/>
  <c r="AJ282" i="2" s="1"/>
  <c r="AI283" i="2"/>
  <c r="AJ283" i="2" s="1"/>
  <c r="AI284" i="2"/>
  <c r="AJ284" i="2" s="1"/>
  <c r="AI285" i="2"/>
  <c r="AJ285" i="2" s="1"/>
  <c r="AI286" i="2"/>
  <c r="AJ286" i="2" s="1"/>
  <c r="AI287" i="2"/>
  <c r="AJ287" i="2" s="1"/>
  <c r="AI288" i="2"/>
  <c r="AJ288" i="2" s="1"/>
  <c r="AI289" i="2"/>
  <c r="AJ289" i="2" s="1"/>
  <c r="AI290" i="2"/>
  <c r="AJ290" i="2" s="1"/>
  <c r="AI291" i="2"/>
  <c r="AJ291" i="2" s="1"/>
  <c r="AI292" i="2"/>
  <c r="AJ292" i="2" s="1"/>
  <c r="AI293" i="2"/>
  <c r="AJ293" i="2" s="1"/>
  <c r="AI294" i="2"/>
  <c r="AJ294" i="2" s="1"/>
  <c r="AI295" i="2"/>
  <c r="AJ295" i="2" s="1"/>
  <c r="AI296" i="2"/>
  <c r="AJ296" i="2" s="1"/>
  <c r="AI297" i="2"/>
  <c r="AJ297" i="2" s="1"/>
  <c r="AI298" i="2"/>
  <c r="AJ298" i="2" s="1"/>
  <c r="AI299" i="2"/>
  <c r="AJ299" i="2" s="1"/>
  <c r="AI300" i="2"/>
  <c r="AJ300" i="2" s="1"/>
  <c r="AI301" i="2"/>
  <c r="AJ301" i="2" s="1"/>
  <c r="AI302" i="2"/>
  <c r="AJ302" i="2" s="1"/>
  <c r="AI303" i="2"/>
  <c r="AJ303" i="2" s="1"/>
  <c r="AI304" i="2"/>
  <c r="AJ304" i="2" s="1"/>
  <c r="AI305" i="2"/>
  <c r="AJ305" i="2" s="1"/>
  <c r="AI306" i="2"/>
  <c r="AJ306" i="2" s="1"/>
  <c r="AI307" i="2"/>
  <c r="AJ307" i="2" s="1"/>
  <c r="AI308" i="2"/>
  <c r="AJ308" i="2" s="1"/>
  <c r="AI309" i="2"/>
  <c r="AJ309" i="2" s="1"/>
  <c r="AI310" i="2"/>
  <c r="AJ310" i="2" s="1"/>
  <c r="AI311" i="2"/>
  <c r="AJ311" i="2" s="1"/>
  <c r="AI312" i="2"/>
  <c r="AJ312" i="2" s="1"/>
  <c r="AI313" i="2"/>
  <c r="AJ313" i="2" s="1"/>
  <c r="AI314" i="2"/>
  <c r="AJ314" i="2" s="1"/>
  <c r="AI315" i="2"/>
  <c r="AJ315" i="2" s="1"/>
  <c r="AI316" i="2"/>
  <c r="AJ316" i="2" s="1"/>
  <c r="AI317" i="2"/>
  <c r="AJ317" i="2" s="1"/>
  <c r="AI318" i="2"/>
  <c r="AJ318" i="2" s="1"/>
  <c r="AI319" i="2"/>
  <c r="AJ319" i="2" s="1"/>
  <c r="AI320" i="2"/>
  <c r="AJ320" i="2" s="1"/>
  <c r="AI321" i="2"/>
  <c r="AJ321" i="2" s="1"/>
  <c r="AI322" i="2"/>
  <c r="AJ322" i="2" s="1"/>
  <c r="AI323" i="2"/>
  <c r="AJ323" i="2" s="1"/>
  <c r="AI324" i="2"/>
  <c r="AJ324" i="2" s="1"/>
  <c r="AI325" i="2"/>
  <c r="AJ325" i="2" s="1"/>
  <c r="AI326" i="2"/>
  <c r="AJ326" i="2" s="1"/>
  <c r="AI327" i="2"/>
  <c r="AJ327" i="2" s="1"/>
  <c r="AI328" i="2"/>
  <c r="AJ328" i="2" s="1"/>
  <c r="AI329" i="2"/>
  <c r="AJ329" i="2" s="1"/>
  <c r="AI330" i="2"/>
  <c r="AJ330" i="2" s="1"/>
  <c r="AI331" i="2"/>
  <c r="AJ331" i="2" s="1"/>
  <c r="AI332" i="2"/>
  <c r="AJ332" i="2" s="1"/>
  <c r="AI333" i="2"/>
  <c r="AJ333" i="2" s="1"/>
  <c r="AI334" i="2"/>
  <c r="AJ334" i="2" s="1"/>
  <c r="AI335" i="2"/>
  <c r="AJ335" i="2" s="1"/>
  <c r="AI336" i="2"/>
  <c r="AJ336" i="2" s="1"/>
  <c r="AI337" i="2"/>
  <c r="AJ337" i="2" s="1"/>
  <c r="AI338" i="2"/>
  <c r="AJ338" i="2" s="1"/>
  <c r="AI339" i="2"/>
  <c r="AJ339" i="2" s="1"/>
  <c r="AI340" i="2"/>
  <c r="AJ340" i="2" s="1"/>
  <c r="AI341" i="2"/>
  <c r="AJ341" i="2" s="1"/>
  <c r="AI342" i="2"/>
  <c r="AJ342" i="2" s="1"/>
  <c r="AI343" i="2"/>
  <c r="AJ343" i="2" s="1"/>
  <c r="AI344" i="2"/>
  <c r="AJ344" i="2" s="1"/>
  <c r="AI345" i="2"/>
  <c r="AJ345" i="2" s="1"/>
  <c r="AI346" i="2"/>
  <c r="AJ346" i="2" s="1"/>
  <c r="AI347" i="2"/>
  <c r="AJ347" i="2" s="1"/>
  <c r="AI348" i="2"/>
  <c r="AJ348" i="2" s="1"/>
  <c r="AI349" i="2"/>
  <c r="AJ349" i="2" s="1"/>
  <c r="AI350" i="2"/>
  <c r="AJ350" i="2" s="1"/>
  <c r="AI351" i="2"/>
  <c r="AJ351" i="2" s="1"/>
  <c r="AI352" i="2"/>
  <c r="AJ352" i="2" s="1"/>
  <c r="AI353" i="2"/>
  <c r="AJ353" i="2" s="1"/>
  <c r="AI354" i="2"/>
  <c r="AJ354" i="2" s="1"/>
  <c r="AI355" i="2"/>
  <c r="AJ355" i="2" s="1"/>
  <c r="AI356" i="2"/>
  <c r="AJ356" i="2" s="1"/>
  <c r="AI357" i="2"/>
  <c r="AJ357" i="2" s="1"/>
  <c r="AI358" i="2"/>
  <c r="AJ358" i="2" s="1"/>
  <c r="AI359" i="2"/>
  <c r="AJ359" i="2" s="1"/>
  <c r="AI360" i="2"/>
  <c r="AJ360" i="2" s="1"/>
  <c r="AI361" i="2"/>
  <c r="AJ361" i="2" s="1"/>
  <c r="AI362" i="2"/>
  <c r="AJ362" i="2" s="1"/>
  <c r="AI363" i="2"/>
  <c r="AJ363" i="2" s="1"/>
  <c r="AI2" i="2"/>
  <c r="Y368" i="2" s="1"/>
  <c r="Z370" i="2" l="1"/>
  <c r="Z372" i="2"/>
  <c r="Z373" i="2"/>
  <c r="AJ8" i="2"/>
  <c r="Z367" i="2" s="1"/>
  <c r="AA367" i="2" s="1"/>
  <c r="Y372" i="2"/>
  <c r="Y373" i="2"/>
  <c r="Y369" i="2"/>
  <c r="AJ5" i="2"/>
  <c r="Z371" i="2" s="1"/>
  <c r="AA371" i="2" s="1"/>
  <c r="AE371" i="2" s="1"/>
  <c r="Y370" i="2"/>
  <c r="AA370" i="2" s="1"/>
  <c r="AJ2" i="2"/>
  <c r="Z368" i="2" s="1"/>
  <c r="AA368" i="2" s="1"/>
  <c r="AI364" i="2"/>
  <c r="AJ4" i="2"/>
  <c r="AA373" i="2"/>
  <c r="AF373" i="2" s="1"/>
  <c r="AA372" i="2"/>
  <c r="AE372" i="2" s="1"/>
  <c r="AB367" i="2" l="1"/>
  <c r="AC367" i="2"/>
  <c r="AE367" i="2"/>
  <c r="AE370" i="2"/>
  <c r="AF367" i="2"/>
  <c r="AF372" i="2"/>
  <c r="AF368" i="2"/>
  <c r="AF371" i="2"/>
  <c r="Z369" i="2"/>
  <c r="AJ364" i="2"/>
  <c r="AB368" i="2"/>
  <c r="AC368" i="2"/>
  <c r="AC371" i="2"/>
  <c r="AB371" i="2"/>
  <c r="AC372" i="2"/>
  <c r="AB372" i="2"/>
  <c r="AE368" i="2"/>
  <c r="AC370" i="2"/>
  <c r="AB370" i="2"/>
  <c r="AC373" i="2"/>
  <c r="AB373" i="2"/>
  <c r="AF370" i="2"/>
  <c r="AE373" i="2"/>
  <c r="AA369" i="2" l="1"/>
  <c r="AC369" i="2" l="1"/>
  <c r="AB369" i="2"/>
  <c r="AE369" i="2"/>
  <c r="AA375" i="2"/>
  <c r="AF369" i="2"/>
  <c r="AI365" i="2" l="1"/>
  <c r="AJ365" i="2"/>
  <c r="AK36" i="2"/>
  <c r="AK314" i="2"/>
  <c r="AL284" i="2"/>
  <c r="AK81" i="2"/>
  <c r="AK306" i="2"/>
  <c r="AK56" i="2"/>
  <c r="AL18" i="2"/>
  <c r="AM190" i="2"/>
  <c r="AK50" i="2"/>
  <c r="AK276" i="2"/>
  <c r="AL330" i="2"/>
  <c r="AK55" i="2"/>
  <c r="AL22" i="2"/>
  <c r="AM49" i="2"/>
  <c r="AK135" i="2"/>
  <c r="AL300" i="2"/>
  <c r="AK220" i="2"/>
  <c r="AM266" i="2"/>
  <c r="AM307" i="2"/>
  <c r="AM222" i="2"/>
  <c r="AM240" i="2"/>
  <c r="AL205" i="2"/>
  <c r="AL78" i="2"/>
  <c r="AM87" i="2"/>
  <c r="AM169" i="2"/>
  <c r="AL191" i="2"/>
  <c r="AM317" i="2"/>
  <c r="AL339" i="2"/>
  <c r="AM52" i="2"/>
  <c r="AL320" i="2"/>
  <c r="AM150" i="2"/>
  <c r="AM341" i="2"/>
  <c r="AL12" i="2"/>
  <c r="AM6" i="2"/>
  <c r="AM60" i="2"/>
  <c r="AM112" i="2"/>
  <c r="AL353" i="2"/>
  <c r="AL182" i="2"/>
  <c r="AL16" i="2"/>
  <c r="AM272" i="2"/>
  <c r="AM124" i="2"/>
  <c r="AM70" i="2"/>
  <c r="AL362" i="2"/>
  <c r="AK113" i="2"/>
  <c r="AL232" i="2"/>
  <c r="AL34" i="2"/>
  <c r="AM194" i="2"/>
  <c r="AM119" i="2"/>
  <c r="AK254" i="2"/>
  <c r="AK76" i="2"/>
  <c r="AK287" i="2"/>
  <c r="AK12" i="2"/>
  <c r="AM115" i="2"/>
  <c r="AK75" i="2"/>
  <c r="AK236" i="2"/>
  <c r="AM35" i="2"/>
  <c r="AK348" i="2"/>
  <c r="AK320" i="2"/>
  <c r="AL198" i="2"/>
  <c r="AL164" i="2"/>
  <c r="AL331" i="2"/>
  <c r="AM89" i="2"/>
  <c r="AL333" i="2"/>
  <c r="AK142" i="2"/>
  <c r="AK198" i="2"/>
  <c r="AL129" i="2"/>
  <c r="AL322" i="2"/>
  <c r="AL299" i="2"/>
  <c r="AM95" i="2"/>
  <c r="AL151" i="2"/>
  <c r="AL243" i="2"/>
  <c r="AM39" i="2"/>
  <c r="AL265" i="2"/>
  <c r="AK219" i="2"/>
  <c r="AK259" i="2"/>
  <c r="AL121" i="2"/>
  <c r="AK361" i="2"/>
  <c r="AK149" i="2"/>
  <c r="AM199" i="2"/>
  <c r="AK296" i="2"/>
  <c r="AK222" i="2"/>
  <c r="AK105" i="2"/>
  <c r="AM231" i="2"/>
  <c r="AL107" i="2"/>
  <c r="AK319" i="2"/>
  <c r="AL224" i="2"/>
  <c r="AL342" i="2"/>
  <c r="AM323" i="2"/>
  <c r="AL250" i="2"/>
  <c r="AM232" i="2"/>
  <c r="AL297" i="2"/>
  <c r="AK351" i="2"/>
  <c r="AM33" i="2"/>
  <c r="AL329" i="2"/>
  <c r="AL337" i="2"/>
  <c r="AM238" i="2"/>
  <c r="AM297" i="2"/>
  <c r="AK281" i="2"/>
  <c r="AM292" i="2"/>
  <c r="AK308" i="2"/>
  <c r="AK169" i="2"/>
  <c r="AL228" i="2"/>
  <c r="AK33" i="2"/>
  <c r="AK141" i="2"/>
  <c r="AL269" i="2"/>
  <c r="AL197" i="2"/>
  <c r="AK221" i="2"/>
  <c r="AK40" i="2"/>
  <c r="AL220" i="2"/>
  <c r="AL155" i="2"/>
  <c r="AK65" i="2"/>
  <c r="AL177" i="2"/>
  <c r="AK210" i="2"/>
  <c r="AK195" i="2"/>
  <c r="AM277" i="2"/>
  <c r="AM165" i="2"/>
  <c r="AK200" i="2"/>
  <c r="AL97" i="2"/>
  <c r="AM239" i="2"/>
  <c r="AL47" i="2"/>
  <c r="AM38" i="2"/>
  <c r="AM275" i="2"/>
  <c r="AL132" i="2"/>
  <c r="AK59" i="2"/>
  <c r="AM48" i="2"/>
  <c r="AK129" i="2"/>
  <c r="AK68" i="2"/>
  <c r="AL145" i="2"/>
  <c r="AL277" i="2"/>
  <c r="AK345" i="2"/>
  <c r="AK260" i="2"/>
  <c r="AL219" i="2"/>
  <c r="AM296" i="2"/>
  <c r="AM322" i="2"/>
  <c r="AK58" i="2"/>
  <c r="AL162" i="2"/>
  <c r="AK72" i="2"/>
  <c r="AK311" i="2"/>
  <c r="AM46" i="2"/>
  <c r="AL291" i="2"/>
  <c r="AM69" i="2"/>
  <c r="AL209" i="2"/>
  <c r="AK235" i="2"/>
  <c r="AM135" i="2"/>
  <c r="AK143" i="2"/>
  <c r="AK115" i="2"/>
  <c r="AL183" i="2"/>
  <c r="AK247" i="2"/>
  <c r="AK267" i="2"/>
  <c r="AM361" i="2"/>
  <c r="AL289" i="2"/>
  <c r="AM140" i="2"/>
  <c r="AL110" i="2"/>
  <c r="AM65" i="2"/>
  <c r="AL9" i="2"/>
  <c r="AM261" i="2"/>
  <c r="AM192" i="2"/>
  <c r="AL359" i="2"/>
  <c r="AM212" i="2"/>
  <c r="AK6" i="2"/>
  <c r="AL175" i="2"/>
  <c r="AL166" i="2"/>
  <c r="AK26" i="2"/>
  <c r="AM75" i="2"/>
  <c r="AK328" i="2"/>
  <c r="AL161" i="2"/>
  <c r="AK48" i="2"/>
  <c r="AM149" i="2"/>
  <c r="AK21" i="2"/>
  <c r="AK170" i="2"/>
  <c r="AL237" i="2"/>
  <c r="AM294" i="2"/>
  <c r="AK202" i="2"/>
  <c r="AK153" i="2"/>
  <c r="AK270" i="2"/>
  <c r="AM204" i="2"/>
  <c r="AK10" i="2"/>
  <c r="AL46" i="2"/>
  <c r="AM111" i="2"/>
  <c r="AM201" i="2"/>
  <c r="AM196" i="2"/>
  <c r="AK269" i="2"/>
  <c r="AL272" i="2"/>
  <c r="AK257" i="2"/>
  <c r="AK181" i="2"/>
  <c r="AL144" i="2"/>
  <c r="AK352" i="2"/>
  <c r="AK316" i="2"/>
  <c r="AK139" i="2"/>
  <c r="AM161" i="2"/>
  <c r="AL294" i="2"/>
  <c r="AK246" i="2"/>
  <c r="AM185" i="2"/>
  <c r="AL273" i="2"/>
  <c r="AL245" i="2"/>
  <c r="AK94" i="2"/>
  <c r="AM290" i="2"/>
  <c r="AM20" i="2"/>
  <c r="AK178" i="2"/>
  <c r="AM329" i="2"/>
  <c r="AL258" i="2"/>
  <c r="AM34" i="2"/>
  <c r="AK203" i="2"/>
  <c r="AM345" i="2"/>
  <c r="AL278" i="2"/>
  <c r="AK52" i="2"/>
  <c r="AL207" i="2"/>
  <c r="AK226" i="2"/>
  <c r="AK262" i="2"/>
  <c r="AM26" i="2"/>
  <c r="AM188" i="2"/>
  <c r="AM295" i="2"/>
  <c r="AM284" i="2"/>
  <c r="AL346" i="2"/>
  <c r="AL135" i="2"/>
  <c r="AL101" i="2"/>
  <c r="AM114" i="2"/>
  <c r="AM172" i="2"/>
  <c r="AM325" i="2"/>
  <c r="AL141" i="2"/>
  <c r="AM254" i="2"/>
  <c r="AM191" i="2"/>
  <c r="AK174" i="2"/>
  <c r="AK126" i="2"/>
  <c r="AL181" i="2"/>
  <c r="AL348" i="2"/>
  <c r="AK244" i="2"/>
  <c r="AK266" i="2"/>
  <c r="AL257" i="2"/>
  <c r="AK215" i="2"/>
  <c r="AK293" i="2"/>
  <c r="AK180" i="2"/>
  <c r="AL328" i="2"/>
  <c r="AM358" i="2"/>
  <c r="AL160" i="2"/>
  <c r="AM320" i="2"/>
  <c r="AM28" i="2"/>
  <c r="AL3" i="2"/>
  <c r="AL6" i="2"/>
  <c r="AM44" i="2"/>
  <c r="AL199" i="2"/>
  <c r="AK286" i="2"/>
  <c r="AM308" i="2"/>
  <c r="AL154" i="2"/>
  <c r="AL347" i="2"/>
  <c r="AM122" i="2"/>
  <c r="AL306" i="2"/>
  <c r="AM255" i="2"/>
  <c r="AL332" i="2"/>
  <c r="AM302" i="2"/>
  <c r="AL253" i="2"/>
  <c r="AL308" i="2"/>
  <c r="AM154" i="2"/>
  <c r="AK148" i="2"/>
  <c r="AM131" i="2"/>
  <c r="AK250" i="2"/>
  <c r="AL255" i="2"/>
  <c r="AL131" i="2"/>
  <c r="AM236" i="2"/>
  <c r="AK155" i="2"/>
  <c r="AK38" i="2"/>
  <c r="AL124" i="2"/>
  <c r="AL77" i="2"/>
  <c r="AK64" i="2"/>
  <c r="AK197" i="2"/>
  <c r="AM42" i="2"/>
  <c r="AM209" i="2"/>
  <c r="AL49" i="2"/>
  <c r="AK183" i="2"/>
  <c r="AM156" i="2"/>
  <c r="AK272" i="2"/>
  <c r="AL63" i="2"/>
  <c r="AK188" i="2"/>
  <c r="AL356" i="2"/>
  <c r="AK278" i="2"/>
  <c r="AK206" i="2"/>
  <c r="AK109" i="2"/>
  <c r="AL67" i="2"/>
  <c r="AM334" i="2"/>
  <c r="AM63" i="2"/>
  <c r="AK342" i="2"/>
  <c r="AL231" i="2"/>
  <c r="AL217" i="2"/>
  <c r="AM299" i="2"/>
  <c r="AK57" i="2"/>
  <c r="AM113" i="2"/>
  <c r="AL98" i="2"/>
  <c r="AL150" i="2"/>
  <c r="AM200" i="2"/>
  <c r="AL11" i="2"/>
  <c r="AK303" i="2"/>
  <c r="AM109" i="2"/>
  <c r="AL251" i="2"/>
  <c r="AM237" i="2"/>
  <c r="AK216" i="2"/>
  <c r="AK130" i="2"/>
  <c r="AM158" i="2"/>
  <c r="AL259" i="2"/>
  <c r="AK66" i="2"/>
  <c r="AK189" i="2"/>
  <c r="AL305" i="2"/>
  <c r="AM260" i="2"/>
  <c r="AM264" i="2"/>
  <c r="AK89" i="2"/>
  <c r="AL130" i="2"/>
  <c r="AL28" i="2"/>
  <c r="AK191" i="2"/>
  <c r="AL68" i="2"/>
  <c r="AK116" i="2"/>
  <c r="AM349" i="2"/>
  <c r="AL256" i="2"/>
  <c r="AM182" i="2"/>
  <c r="AK261" i="2"/>
  <c r="AM145" i="2"/>
  <c r="AL288" i="2"/>
  <c r="AM215" i="2"/>
  <c r="AM340" i="2"/>
  <c r="AK213" i="2"/>
  <c r="AK288" i="2"/>
  <c r="AL271" i="2"/>
  <c r="AK337" i="2"/>
  <c r="AL163" i="2"/>
  <c r="AK199" i="2"/>
  <c r="AM17" i="2"/>
  <c r="AL276" i="2"/>
  <c r="AM230" i="2"/>
  <c r="AK29" i="2"/>
  <c r="AK329" i="2"/>
  <c r="AM268" i="2"/>
  <c r="AM351" i="2"/>
  <c r="AM228" i="2"/>
  <c r="AL142" i="2"/>
  <c r="AL24" i="2"/>
  <c r="AK253" i="2"/>
  <c r="AK209" i="2"/>
  <c r="AL36" i="2"/>
  <c r="AM327" i="2"/>
  <c r="AM32" i="2"/>
  <c r="AK158" i="2"/>
  <c r="AK230" i="2"/>
  <c r="AM221" i="2"/>
  <c r="AK154" i="2"/>
  <c r="AM16" i="2"/>
  <c r="AL103" i="2"/>
  <c r="AL188" i="2"/>
  <c r="AK87" i="2"/>
  <c r="AM7" i="2"/>
  <c r="AK22" i="2"/>
  <c r="AM43" i="2"/>
  <c r="AL349" i="2"/>
  <c r="AL223" i="2"/>
  <c r="AL355" i="2"/>
  <c r="AL87" i="2"/>
  <c r="AK205" i="2"/>
  <c r="AK60" i="2"/>
  <c r="AM4" i="2"/>
  <c r="AL31" i="2"/>
  <c r="AM91" i="2"/>
  <c r="AL86" i="2"/>
  <c r="AM132" i="2"/>
  <c r="AK97" i="2"/>
  <c r="AK63" i="2"/>
  <c r="AM219" i="2"/>
  <c r="AL211" i="2"/>
  <c r="AM142" i="2"/>
  <c r="AM68" i="2"/>
  <c r="AM152" i="2"/>
  <c r="AK46" i="2"/>
  <c r="AM176" i="2"/>
  <c r="AM177" i="2"/>
  <c r="AL227" i="2"/>
  <c r="AM179" i="2"/>
  <c r="AL239" i="2"/>
  <c r="AK173" i="2"/>
  <c r="AK34" i="2"/>
  <c r="AL61" i="2"/>
  <c r="AK106" i="2"/>
  <c r="AK31" i="2"/>
  <c r="AL35" i="2"/>
  <c r="AK339" i="2"/>
  <c r="AK4" i="2"/>
  <c r="AM144" i="2"/>
  <c r="AM8" i="2"/>
  <c r="AL343" i="2"/>
  <c r="AM202" i="2"/>
  <c r="AK240" i="2"/>
  <c r="AM288" i="2"/>
  <c r="AL17" i="2"/>
  <c r="AL312" i="2"/>
  <c r="AK207" i="2"/>
  <c r="AK91" i="2"/>
  <c r="AK70" i="2"/>
  <c r="AM108" i="2"/>
  <c r="AK347" i="2"/>
  <c r="AM253" i="2"/>
  <c r="AL126" i="2"/>
  <c r="AM53" i="2"/>
  <c r="AM159" i="2"/>
  <c r="AM125" i="2"/>
  <c r="AM348" i="2"/>
  <c r="AM252" i="2"/>
  <c r="AM84" i="2"/>
  <c r="AL194" i="2"/>
  <c r="AK69" i="2"/>
  <c r="AK297" i="2"/>
  <c r="AM276" i="2"/>
  <c r="AM40" i="2"/>
  <c r="AM157" i="2"/>
  <c r="AL301" i="2"/>
  <c r="AL190" i="2"/>
  <c r="AL27" i="2"/>
  <c r="AK353" i="2"/>
  <c r="AL83" i="2"/>
  <c r="AM2" i="2"/>
  <c r="AM166" i="2"/>
  <c r="AL53" i="2"/>
  <c r="AL314" i="2"/>
  <c r="AK265" i="2"/>
  <c r="AL70" i="2"/>
  <c r="AM332" i="2"/>
  <c r="AM74" i="2"/>
  <c r="AM76" i="2"/>
  <c r="AM97" i="2"/>
  <c r="AL88" i="2"/>
  <c r="AK285" i="2"/>
  <c r="AM3" i="2"/>
  <c r="AM306" i="2"/>
  <c r="AL13" i="2"/>
  <c r="AM311" i="2"/>
  <c r="AL75" i="2"/>
  <c r="AM246" i="2"/>
  <c r="AL266" i="2"/>
  <c r="AM331" i="2"/>
  <c r="AK268" i="2"/>
  <c r="AL156" i="2"/>
  <c r="AK111" i="2"/>
  <c r="AK108" i="2"/>
  <c r="AL361" i="2"/>
  <c r="AM13" i="2"/>
  <c r="AL134" i="2"/>
  <c r="AM217" i="2"/>
  <c r="AM168" i="2"/>
  <c r="AK119" i="2"/>
  <c r="AL40" i="2"/>
  <c r="AM321" i="2"/>
  <c r="AM72" i="2"/>
  <c r="AM151" i="2"/>
  <c r="AL246" i="2"/>
  <c r="AL122" i="2"/>
  <c r="AL236" i="2"/>
  <c r="AK98" i="2"/>
  <c r="AM51" i="2"/>
  <c r="AL157" i="2"/>
  <c r="AM181" i="2"/>
  <c r="AK42" i="2"/>
  <c r="AK24" i="2"/>
  <c r="AL59" i="2"/>
  <c r="AM37" i="2"/>
  <c r="AL60" i="2"/>
  <c r="AL221" i="2"/>
  <c r="AK277" i="2"/>
  <c r="AL91" i="2"/>
  <c r="AM265" i="2"/>
  <c r="AM205" i="2"/>
  <c r="AL193" i="2"/>
  <c r="AL115" i="2"/>
  <c r="AK182" i="2"/>
  <c r="AK273" i="2"/>
  <c r="AL363" i="2"/>
  <c r="AK144" i="2"/>
  <c r="AK325" i="2"/>
  <c r="AK208" i="2"/>
  <c r="AM338" i="2"/>
  <c r="AM21" i="2"/>
  <c r="AL310" i="2"/>
  <c r="AK193" i="2"/>
  <c r="AM120" i="2"/>
  <c r="AL307" i="2"/>
  <c r="AM300" i="2"/>
  <c r="AL303" i="2"/>
  <c r="AL206" i="2"/>
  <c r="AK238" i="2"/>
  <c r="AL128" i="2"/>
  <c r="AM153" i="2"/>
  <c r="AL340" i="2"/>
  <c r="AM271" i="2"/>
  <c r="AM198" i="2"/>
  <c r="AL152" i="2"/>
  <c r="AL148" i="2"/>
  <c r="AM126" i="2"/>
  <c r="AL201" i="2"/>
  <c r="AK204" i="2"/>
  <c r="AM57" i="2"/>
  <c r="AM247" i="2"/>
  <c r="AL7" i="2"/>
  <c r="AK190" i="2"/>
  <c r="AM248" i="2"/>
  <c r="AM195" i="2"/>
  <c r="AL105" i="2"/>
  <c r="AL302" i="2"/>
  <c r="AL225" i="2"/>
  <c r="AK92" i="2"/>
  <c r="AM229" i="2"/>
  <c r="AL295" i="2"/>
  <c r="AL327" i="2"/>
  <c r="AM85" i="2"/>
  <c r="AK252" i="2"/>
  <c r="AM128" i="2"/>
  <c r="AL26" i="2"/>
  <c r="AM269" i="2"/>
  <c r="AL293" i="2"/>
  <c r="AL30" i="2"/>
  <c r="AK51" i="2"/>
  <c r="AM346" i="2"/>
  <c r="AK214" i="2"/>
  <c r="AK321" i="2"/>
  <c r="AM146" i="2"/>
  <c r="AL274" i="2"/>
  <c r="AL323" i="2"/>
  <c r="AL69" i="2"/>
  <c r="AL192" i="2"/>
  <c r="AK172" i="2"/>
  <c r="AK2" i="2"/>
  <c r="AM324" i="2"/>
  <c r="AK41" i="2"/>
  <c r="AK284" i="2"/>
  <c r="AK232" i="2"/>
  <c r="AM184" i="2"/>
  <c r="AK242" i="2"/>
  <c r="AL64" i="2"/>
  <c r="AL85" i="2"/>
  <c r="AM225" i="2"/>
  <c r="AL55" i="2"/>
  <c r="AM213" i="2"/>
  <c r="AL39" i="2"/>
  <c r="AL240" i="2"/>
  <c r="AK133" i="2"/>
  <c r="AK27" i="2"/>
  <c r="AL238" i="2"/>
  <c r="AM208" i="2"/>
  <c r="AL282" i="2"/>
  <c r="AK258" i="2"/>
  <c r="AK9" i="2"/>
  <c r="AM29" i="2"/>
  <c r="AL159" i="2"/>
  <c r="AL125" i="2"/>
  <c r="AM287" i="2"/>
  <c r="AM278" i="2"/>
  <c r="AL38" i="2"/>
  <c r="AL73" i="2"/>
  <c r="AM137" i="2"/>
  <c r="AM224" i="2"/>
  <c r="AK176" i="2"/>
  <c r="AK256" i="2"/>
  <c r="AL286" i="2"/>
  <c r="AL14" i="2"/>
  <c r="AM211" i="2"/>
  <c r="AK16" i="2"/>
  <c r="AK95" i="2"/>
  <c r="AM245" i="2"/>
  <c r="AK333" i="2"/>
  <c r="AL196" i="2"/>
  <c r="AK61" i="2"/>
  <c r="AL71" i="2"/>
  <c r="AK280" i="2"/>
  <c r="AK315" i="2"/>
  <c r="AL204" i="2"/>
  <c r="AM31" i="2"/>
  <c r="AM187" i="2"/>
  <c r="AL336" i="2"/>
  <c r="AL279" i="2"/>
  <c r="AK245" i="2"/>
  <c r="AL235" i="2"/>
  <c r="AK283" i="2"/>
  <c r="AK227" i="2"/>
  <c r="AK358" i="2"/>
  <c r="AK336" i="2"/>
  <c r="AK88" i="2"/>
  <c r="AL172" i="2"/>
  <c r="AL113" i="2"/>
  <c r="AL334" i="2"/>
  <c r="AM5" i="2"/>
  <c r="AM61" i="2"/>
  <c r="AL261" i="2"/>
  <c r="AK28" i="2"/>
  <c r="AL338" i="2"/>
  <c r="AM227" i="2"/>
  <c r="AM257" i="2"/>
  <c r="AM316" i="2"/>
  <c r="AL56" i="2"/>
  <c r="AK32" i="2"/>
  <c r="AK137" i="2"/>
  <c r="AL275" i="2"/>
  <c r="AL52" i="2"/>
  <c r="AM45" i="2"/>
  <c r="AK225" i="2"/>
  <c r="AK350" i="2"/>
  <c r="AK140" i="2"/>
  <c r="AM251" i="2"/>
  <c r="AL189" i="2"/>
  <c r="AL43" i="2"/>
  <c r="AM183" i="2"/>
  <c r="AK304" i="2"/>
  <c r="AM105" i="2"/>
  <c r="AL247" i="2"/>
  <c r="AK343" i="2"/>
  <c r="AL89" i="2"/>
  <c r="AM301" i="2"/>
  <c r="AM250" i="2"/>
  <c r="AK317" i="2"/>
  <c r="AM235" i="2"/>
  <c r="AK282" i="2"/>
  <c r="AK237" i="2"/>
  <c r="AK335" i="2"/>
  <c r="AL248" i="2"/>
  <c r="AM267" i="2"/>
  <c r="AL179" i="2"/>
  <c r="AK248" i="2"/>
  <c r="AL280" i="2"/>
  <c r="AM263" i="2"/>
  <c r="AL102" i="2"/>
  <c r="AL140" i="2"/>
  <c r="AM18" i="2"/>
  <c r="AK152" i="2"/>
  <c r="AL195" i="2"/>
  <c r="AM9" i="2"/>
  <c r="AL186" i="2"/>
  <c r="AL287" i="2"/>
  <c r="AL72" i="2"/>
  <c r="AL21" i="2"/>
  <c r="AM360" i="2"/>
  <c r="AL326" i="2"/>
  <c r="AL185" i="2"/>
  <c r="AM206" i="2"/>
  <c r="AM355" i="2"/>
  <c r="AK112" i="2"/>
  <c r="AM118" i="2"/>
  <c r="AM155" i="2"/>
  <c r="AK49" i="2"/>
  <c r="AM193" i="2"/>
  <c r="AM313" i="2"/>
  <c r="AK312" i="2"/>
  <c r="AK355" i="2"/>
  <c r="AK263" i="2"/>
  <c r="AM312" i="2"/>
  <c r="AM41" i="2"/>
  <c r="AK179" i="2"/>
  <c r="AK77" i="2"/>
  <c r="AM350" i="2"/>
  <c r="AM363" i="2"/>
  <c r="AM55" i="2"/>
  <c r="AL184" i="2"/>
  <c r="AL254" i="2"/>
  <c r="AM337" i="2"/>
  <c r="AM77" i="2"/>
  <c r="AK313" i="2"/>
  <c r="AL118" i="2"/>
  <c r="AK127" i="2"/>
  <c r="AK20" i="2"/>
  <c r="AL341" i="2"/>
  <c r="AK354" i="2"/>
  <c r="AK84" i="2"/>
  <c r="AM280" i="2"/>
  <c r="AL8" i="2"/>
  <c r="AK73" i="2"/>
  <c r="AK309" i="2"/>
  <c r="AK125" i="2"/>
  <c r="AL315" i="2"/>
  <c r="AK118" i="2"/>
  <c r="AL165" i="2"/>
  <c r="AM59" i="2"/>
  <c r="AL218" i="2"/>
  <c r="AM180" i="2"/>
  <c r="AM98" i="2"/>
  <c r="AK211" i="2"/>
  <c r="AM259" i="2"/>
  <c r="AM241" i="2"/>
  <c r="AK114" i="2"/>
  <c r="AL173" i="2"/>
  <c r="AM298" i="2"/>
  <c r="AM218" i="2"/>
  <c r="AM167" i="2"/>
  <c r="AK301" i="2"/>
  <c r="AL112" i="2"/>
  <c r="AL304" i="2"/>
  <c r="AK310" i="2"/>
  <c r="AM99" i="2"/>
  <c r="AM344" i="2"/>
  <c r="AK223" i="2"/>
  <c r="AK71" i="2"/>
  <c r="AL214" i="2"/>
  <c r="AM216" i="2"/>
  <c r="AM92" i="2"/>
  <c r="AM23" i="2"/>
  <c r="AL37" i="2"/>
  <c r="AL290" i="2"/>
  <c r="AK107" i="2"/>
  <c r="AM274" i="2"/>
  <c r="AK192" i="2"/>
  <c r="AK19" i="2"/>
  <c r="AM186" i="2"/>
  <c r="AM189" i="2"/>
  <c r="AK332" i="2"/>
  <c r="AL58" i="2"/>
  <c r="AM62" i="2"/>
  <c r="AL4" i="2"/>
  <c r="AL281" i="2"/>
  <c r="AM110" i="2"/>
  <c r="AM127" i="2"/>
  <c r="AM273" i="2"/>
  <c r="AL208" i="2"/>
  <c r="AM342" i="2"/>
  <c r="AK324" i="2"/>
  <c r="AL242" i="2"/>
  <c r="AM262" i="2"/>
  <c r="AM67" i="2"/>
  <c r="AK17" i="2"/>
  <c r="AM315" i="2"/>
  <c r="AM86" i="2"/>
  <c r="AK212" i="2"/>
  <c r="AM223" i="2"/>
  <c r="AL316" i="2"/>
  <c r="AM14" i="2"/>
  <c r="AM163" i="2"/>
  <c r="AK159" i="2"/>
  <c r="AK110" i="2"/>
  <c r="AM136" i="2"/>
  <c r="AL263" i="2"/>
  <c r="AL168" i="2"/>
  <c r="AK318" i="2"/>
  <c r="AK5" i="2"/>
  <c r="AM15" i="2"/>
  <c r="AL136" i="2"/>
  <c r="AK131" i="2"/>
  <c r="AL54" i="2"/>
  <c r="AL32" i="2"/>
  <c r="AL229" i="2"/>
  <c r="AM207" i="2"/>
  <c r="AK86" i="2"/>
  <c r="AK359" i="2"/>
  <c r="AK78" i="2"/>
  <c r="AK228" i="2"/>
  <c r="AM96" i="2"/>
  <c r="AK99" i="2"/>
  <c r="AM289" i="2"/>
  <c r="AL210" i="2"/>
  <c r="AK103" i="2"/>
  <c r="AM66" i="2"/>
  <c r="AK224" i="2"/>
  <c r="AL344" i="2"/>
  <c r="AM47" i="2"/>
  <c r="AK15" i="2"/>
  <c r="AM88" i="2"/>
  <c r="AK74" i="2"/>
  <c r="AL99" i="2"/>
  <c r="AL283" i="2"/>
  <c r="AK83" i="2"/>
  <c r="AK53" i="2"/>
  <c r="AK201" i="2"/>
  <c r="AL358" i="2"/>
  <c r="AK80" i="2"/>
  <c r="AM354" i="2"/>
  <c r="AM90" i="2"/>
  <c r="AL79" i="2"/>
  <c r="AL260" i="2"/>
  <c r="AK356" i="2"/>
  <c r="AL357" i="2"/>
  <c r="AK327" i="2"/>
  <c r="AL158" i="2"/>
  <c r="AM175" i="2"/>
  <c r="AL44" i="2"/>
  <c r="AL95" i="2"/>
  <c r="AM101" i="2"/>
  <c r="AK363" i="2"/>
  <c r="AL216" i="2"/>
  <c r="AL270" i="2"/>
  <c r="AL296" i="2"/>
  <c r="AK11" i="2"/>
  <c r="AK37" i="2"/>
  <c r="AK23" i="2"/>
  <c r="AM164" i="2"/>
  <c r="AL249" i="2"/>
  <c r="AK217" i="2"/>
  <c r="AM319" i="2"/>
  <c r="AK161" i="2"/>
  <c r="AL2" i="2"/>
  <c r="AM36" i="2"/>
  <c r="AM352" i="2"/>
  <c r="AM130" i="2"/>
  <c r="AL149" i="2"/>
  <c r="AM22" i="2"/>
  <c r="AM123" i="2"/>
  <c r="AM93" i="2"/>
  <c r="AL100" i="2"/>
  <c r="AL33" i="2"/>
  <c r="AK45" i="2"/>
  <c r="AM242" i="2"/>
  <c r="AM203" i="2"/>
  <c r="AK362" i="2"/>
  <c r="AM50" i="2"/>
  <c r="AL351" i="2"/>
  <c r="AM143" i="2"/>
  <c r="AL174" i="2"/>
  <c r="AM286" i="2"/>
  <c r="AL146" i="2"/>
  <c r="AL108" i="2"/>
  <c r="AK349" i="2"/>
  <c r="AK231" i="2"/>
  <c r="AK18" i="2"/>
  <c r="AM362" i="2"/>
  <c r="AK218" i="2"/>
  <c r="AL252" i="2"/>
  <c r="AK102" i="2"/>
  <c r="AK302" i="2"/>
  <c r="AL292" i="2"/>
  <c r="AK166" i="2"/>
  <c r="AK194" i="2"/>
  <c r="AK123" i="2"/>
  <c r="AM309" i="2"/>
  <c r="AK357" i="2"/>
  <c r="AK165" i="2"/>
  <c r="AK122" i="2"/>
  <c r="AM330" i="2"/>
  <c r="AL230" i="2"/>
  <c r="AK307" i="2"/>
  <c r="AK147" i="2"/>
  <c r="AL354" i="2"/>
  <c r="AK187" i="2"/>
  <c r="AK360" i="2"/>
  <c r="AL147" i="2"/>
  <c r="AM173" i="2"/>
  <c r="AM243" i="2"/>
  <c r="AL311" i="2"/>
  <c r="AK171" i="2"/>
  <c r="AK124" i="2"/>
  <c r="AL321" i="2"/>
  <c r="AM285" i="2"/>
  <c r="AL80" i="2"/>
  <c r="AM94" i="2"/>
  <c r="AL264" i="2"/>
  <c r="AK341" i="2"/>
  <c r="AL285" i="2"/>
  <c r="AM54" i="2"/>
  <c r="AK290" i="2"/>
  <c r="AM291" i="2"/>
  <c r="AM170" i="2"/>
  <c r="AL74" i="2"/>
  <c r="AK298" i="2"/>
  <c r="AM79" i="2"/>
  <c r="AK150" i="2"/>
  <c r="AK121" i="2"/>
  <c r="AM303" i="2"/>
  <c r="AL244" i="2"/>
  <c r="AK338" i="2"/>
  <c r="AL25" i="2"/>
  <c r="AL65" i="2"/>
  <c r="AK85" i="2"/>
  <c r="AM73" i="2"/>
  <c r="AL90" i="2"/>
  <c r="AK322" i="2"/>
  <c r="AL153" i="2"/>
  <c r="AM293" i="2"/>
  <c r="AL212" i="2"/>
  <c r="AK7" i="2"/>
  <c r="AK67" i="2"/>
  <c r="AL345" i="2"/>
  <c r="AM335" i="2"/>
  <c r="AK104" i="2"/>
  <c r="AL120" i="2"/>
  <c r="AK184" i="2"/>
  <c r="AK93" i="2"/>
  <c r="AK334" i="2"/>
  <c r="AK291" i="2"/>
  <c r="AL319" i="2"/>
  <c r="AK275" i="2"/>
  <c r="AL50" i="2"/>
  <c r="AL267" i="2"/>
  <c r="AK156" i="2"/>
  <c r="AK346" i="2"/>
  <c r="AM64" i="2"/>
  <c r="AL335" i="2"/>
  <c r="AK299" i="2"/>
  <c r="AL352" i="2"/>
  <c r="AM103" i="2"/>
  <c r="AK62" i="2"/>
  <c r="AL92" i="2"/>
  <c r="AL226" i="2"/>
  <c r="AM281" i="2"/>
  <c r="AM210" i="2"/>
  <c r="AK47" i="2"/>
  <c r="AL180" i="2"/>
  <c r="AL23" i="2"/>
  <c r="AK163" i="2"/>
  <c r="AM58" i="2"/>
  <c r="AM11" i="2"/>
  <c r="AM318" i="2"/>
  <c r="AL96" i="2"/>
  <c r="AM353" i="2"/>
  <c r="AL360" i="2"/>
  <c r="AL215" i="2"/>
  <c r="AK229" i="2"/>
  <c r="AL324" i="2"/>
  <c r="AM328" i="2"/>
  <c r="AK30" i="2"/>
  <c r="AL93" i="2"/>
  <c r="AL127" i="2"/>
  <c r="AK43" i="2"/>
  <c r="AM133" i="2"/>
  <c r="AL76" i="2"/>
  <c r="AK8" i="2"/>
  <c r="AK128" i="2"/>
  <c r="AL233" i="2"/>
  <c r="AL41" i="2"/>
  <c r="AL116" i="2"/>
  <c r="AM100" i="2"/>
  <c r="AK294" i="2"/>
  <c r="AL51" i="2"/>
  <c r="AK344" i="2"/>
  <c r="AM258" i="2"/>
  <c r="AM24" i="2"/>
  <c r="AK249" i="2"/>
  <c r="AL117" i="2"/>
  <c r="AM116" i="2"/>
  <c r="AM80" i="2"/>
  <c r="AL167" i="2"/>
  <c r="AL137" i="2"/>
  <c r="AL170" i="2"/>
  <c r="AM305" i="2"/>
  <c r="AL202" i="2"/>
  <c r="AM336" i="2"/>
  <c r="AM81" i="2"/>
  <c r="AK151" i="2"/>
  <c r="AK35" i="2"/>
  <c r="AK136" i="2"/>
  <c r="AL94" i="2"/>
  <c r="AM171" i="2"/>
  <c r="AM104" i="2"/>
  <c r="AK168" i="2"/>
  <c r="AL200" i="2"/>
  <c r="AL48" i="2"/>
  <c r="AK274" i="2"/>
  <c r="AL111" i="2"/>
  <c r="AK96" i="2"/>
  <c r="AL309" i="2"/>
  <c r="AM249" i="2"/>
  <c r="AM279" i="2"/>
  <c r="AL176" i="2"/>
  <c r="AK300" i="2"/>
  <c r="AL20" i="2"/>
  <c r="AK138" i="2"/>
  <c r="AK305" i="2"/>
  <c r="AM134" i="2"/>
  <c r="AM71" i="2"/>
  <c r="AK134" i="2"/>
  <c r="AK243" i="2"/>
  <c r="AK100" i="2"/>
  <c r="AM129" i="2"/>
  <c r="AK295" i="2"/>
  <c r="AK25" i="2"/>
  <c r="AK39" i="2"/>
  <c r="AM310" i="2"/>
  <c r="AK13" i="2"/>
  <c r="AM19" i="2"/>
  <c r="AM197" i="2"/>
  <c r="AK330" i="2"/>
  <c r="AM82" i="2"/>
  <c r="AL234" i="2"/>
  <c r="AK132" i="2"/>
  <c r="AL133" i="2"/>
  <c r="AL317" i="2"/>
  <c r="AM343" i="2"/>
  <c r="AK292" i="2"/>
  <c r="AK185" i="2"/>
  <c r="AM220" i="2"/>
  <c r="AL139" i="2"/>
  <c r="AM347" i="2"/>
  <c r="AK326" i="2"/>
  <c r="AM326" i="2"/>
  <c r="AM141" i="2"/>
  <c r="AM256" i="2"/>
  <c r="AL222" i="2"/>
  <c r="AM357" i="2"/>
  <c r="AK196" i="2"/>
  <c r="AM234" i="2"/>
  <c r="AL268" i="2"/>
  <c r="AK90" i="2"/>
  <c r="AK54" i="2"/>
  <c r="AK255" i="2"/>
  <c r="AK279" i="2"/>
  <c r="AL114" i="2"/>
  <c r="AM233" i="2"/>
  <c r="AK271" i="2"/>
  <c r="AK146" i="2"/>
  <c r="AK82" i="2"/>
  <c r="AL138" i="2"/>
  <c r="AM10" i="2"/>
  <c r="AL171" i="2"/>
  <c r="AM282" i="2"/>
  <c r="AL262" i="2"/>
  <c r="AL298" i="2"/>
  <c r="AL29" i="2"/>
  <c r="AM356" i="2"/>
  <c r="AM117" i="2"/>
  <c r="AK164" i="2"/>
  <c r="AL169" i="2"/>
  <c r="AL15" i="2"/>
  <c r="AM121" i="2"/>
  <c r="AL104" i="2"/>
  <c r="AK162" i="2"/>
  <c r="AK239" i="2"/>
  <c r="AL350" i="2"/>
  <c r="AK3" i="2"/>
  <c r="AM162" i="2"/>
  <c r="AM226" i="2"/>
  <c r="AM333" i="2"/>
  <c r="AL62" i="2"/>
  <c r="AL19" i="2"/>
  <c r="AM56" i="2"/>
  <c r="AM314" i="2"/>
  <c r="AK233" i="2"/>
  <c r="AL325" i="2"/>
  <c r="AK160" i="2"/>
  <c r="AM107" i="2"/>
  <c r="AK101" i="2"/>
  <c r="AL82" i="2"/>
  <c r="AL203" i="2"/>
  <c r="AM138" i="2"/>
  <c r="AM83" i="2"/>
  <c r="AK14" i="2"/>
  <c r="AK331" i="2"/>
  <c r="AM147" i="2"/>
  <c r="AL45" i="2"/>
  <c r="AK186" i="2"/>
  <c r="AL241" i="2"/>
  <c r="AK175" i="2"/>
  <c r="AL84" i="2"/>
  <c r="AM12" i="2"/>
  <c r="AL213" i="2"/>
  <c r="AM304" i="2"/>
  <c r="AL143" i="2"/>
  <c r="AM160" i="2"/>
  <c r="AL109" i="2"/>
  <c r="AK157" i="2"/>
  <c r="AL178" i="2"/>
  <c r="AK264" i="2"/>
  <c r="AK177" i="2"/>
  <c r="AL318" i="2"/>
  <c r="AM78" i="2"/>
  <c r="AM270" i="2"/>
  <c r="AL119" i="2"/>
  <c r="AM178" i="2"/>
  <c r="AK120" i="2"/>
  <c r="AK289" i="2"/>
  <c r="AK79" i="2"/>
  <c r="AL81" i="2"/>
  <c r="AM27" i="2"/>
  <c r="AK117" i="2"/>
  <c r="AM139" i="2"/>
  <c r="AM339" i="2"/>
  <c r="AK340" i="2"/>
  <c r="AL123" i="2"/>
  <c r="AM30" i="2"/>
  <c r="AL66" i="2"/>
  <c r="AK145" i="2"/>
  <c r="AM244" i="2"/>
  <c r="AK323" i="2"/>
  <c r="AM106" i="2"/>
  <c r="AM148" i="2"/>
  <c r="AM283" i="2"/>
  <c r="AL42" i="2"/>
  <c r="AL5" i="2"/>
  <c r="AK44" i="2"/>
  <c r="AK251" i="2"/>
  <c r="AL57" i="2"/>
  <c r="AL10" i="2"/>
  <c r="AL313" i="2"/>
  <c r="AM102" i="2"/>
  <c r="AK167" i="2"/>
  <c r="AL106" i="2"/>
  <c r="AM359" i="2"/>
  <c r="AM174" i="2"/>
  <c r="AM214" i="2"/>
  <c r="AL187" i="2"/>
  <c r="AK234" i="2"/>
  <c r="AM25" i="2"/>
  <c r="AK241" i="2"/>
  <c r="AR241" i="2" l="1"/>
  <c r="AN241" i="2"/>
  <c r="AP25" i="2"/>
  <c r="AR234" i="2"/>
  <c r="AN234" i="2"/>
  <c r="AO187" i="2"/>
  <c r="C564" i="2" s="1"/>
  <c r="AP214" i="2"/>
  <c r="AP174" i="2"/>
  <c r="AP359" i="2"/>
  <c r="AO106" i="2"/>
  <c r="C483" i="2" s="1"/>
  <c r="AN167" i="2"/>
  <c r="AR167" i="2"/>
  <c r="AP102" i="2"/>
  <c r="AO313" i="2"/>
  <c r="C690" i="2" s="1"/>
  <c r="AO10" i="2"/>
  <c r="C387" i="2" s="1"/>
  <c r="AO57" i="2"/>
  <c r="C434" i="2" s="1"/>
  <c r="AN251" i="2"/>
  <c r="AR251" i="2"/>
  <c r="AN44" i="2"/>
  <c r="AR44" i="2"/>
  <c r="AO5" i="2"/>
  <c r="AO42" i="2"/>
  <c r="C419" i="2" s="1"/>
  <c r="AP283" i="2"/>
  <c r="AP148" i="2"/>
  <c r="AP106" i="2"/>
  <c r="AN323" i="2"/>
  <c r="AR323" i="2"/>
  <c r="AP244" i="2"/>
  <c r="AN145" i="2"/>
  <c r="AR145" i="2"/>
  <c r="AO66" i="2"/>
  <c r="C443" i="2" s="1"/>
  <c r="AP30" i="2"/>
  <c r="AO123" i="2"/>
  <c r="C500" i="2" s="1"/>
  <c r="AN340" i="2"/>
  <c r="AR340" i="2"/>
  <c r="AP339" i="2"/>
  <c r="AP139" i="2"/>
  <c r="AR117" i="2"/>
  <c r="AN117" i="2"/>
  <c r="AP27" i="2"/>
  <c r="AO81" i="2"/>
  <c r="C458" i="2" s="1"/>
  <c r="AR79" i="2"/>
  <c r="AN79" i="2"/>
  <c r="AN289" i="2"/>
  <c r="AR289" i="2"/>
  <c r="AN120" i="2"/>
  <c r="AR120" i="2"/>
  <c r="AP178" i="2"/>
  <c r="AO119" i="2"/>
  <c r="C496" i="2" s="1"/>
  <c r="AP270" i="2"/>
  <c r="AP78" i="2"/>
  <c r="AO318" i="2"/>
  <c r="C695" i="2" s="1"/>
  <c r="AN177" i="2"/>
  <c r="AR177" i="2"/>
  <c r="AR264" i="2"/>
  <c r="AN264" i="2"/>
  <c r="AO178" i="2"/>
  <c r="C555" i="2" s="1"/>
  <c r="AR157" i="2"/>
  <c r="AN157" i="2"/>
  <c r="AO109" i="2"/>
  <c r="C486" i="2" s="1"/>
  <c r="AP160" i="2"/>
  <c r="AO143" i="2"/>
  <c r="C520" i="2" s="1"/>
  <c r="AP304" i="2"/>
  <c r="AO213" i="2"/>
  <c r="C590" i="2" s="1"/>
  <c r="AP12" i="2"/>
  <c r="AO84" i="2"/>
  <c r="C461" i="2" s="1"/>
  <c r="AN175" i="2"/>
  <c r="AR175" i="2"/>
  <c r="AO241" i="2"/>
  <c r="C618" i="2" s="1"/>
  <c r="AR186" i="2"/>
  <c r="AN186" i="2"/>
  <c r="AO45" i="2"/>
  <c r="C422" i="2" s="1"/>
  <c r="AP147" i="2"/>
  <c r="AR331" i="2"/>
  <c r="AN331" i="2"/>
  <c r="AR14" i="2"/>
  <c r="AN14" i="2"/>
  <c r="AP83" i="2"/>
  <c r="AP138" i="2"/>
  <c r="AO203" i="2"/>
  <c r="C580" i="2" s="1"/>
  <c r="AO82" i="2"/>
  <c r="C459" i="2" s="1"/>
  <c r="AR101" i="2"/>
  <c r="AN101" i="2"/>
  <c r="AP107" i="2"/>
  <c r="AN160" i="2"/>
  <c r="AR160" i="2"/>
  <c r="AO325" i="2"/>
  <c r="C702" i="2" s="1"/>
  <c r="AR233" i="2"/>
  <c r="AN233" i="2"/>
  <c r="AP314" i="2"/>
  <c r="AP56" i="2"/>
  <c r="AO19" i="2"/>
  <c r="C396" i="2" s="1"/>
  <c r="AO62" i="2"/>
  <c r="C439" i="2" s="1"/>
  <c r="AP333" i="2"/>
  <c r="AP226" i="2"/>
  <c r="AP162" i="2"/>
  <c r="AN3" i="2"/>
  <c r="AR3" i="2"/>
  <c r="J471" i="2"/>
  <c r="AO350" i="2"/>
  <c r="C727" i="2" s="1"/>
  <c r="AN239" i="2"/>
  <c r="AR239" i="2"/>
  <c r="AN162" i="2"/>
  <c r="AR162" i="2"/>
  <c r="AO104" i="2"/>
  <c r="C481" i="2" s="1"/>
  <c r="AP121" i="2"/>
  <c r="AO15" i="2"/>
  <c r="C392" i="2" s="1"/>
  <c r="AO169" i="2"/>
  <c r="C546" i="2" s="1"/>
  <c r="AN164" i="2"/>
  <c r="AR164" i="2"/>
  <c r="AP117" i="2"/>
  <c r="AP356" i="2"/>
  <c r="AO29" i="2"/>
  <c r="C406" i="2" s="1"/>
  <c r="AO298" i="2"/>
  <c r="C675" i="2" s="1"/>
  <c r="AO262" i="2"/>
  <c r="C639" i="2" s="1"/>
  <c r="AP282" i="2"/>
  <c r="AO171" i="2"/>
  <c r="C548" i="2" s="1"/>
  <c r="AP10" i="2"/>
  <c r="AO138" i="2"/>
  <c r="C515" i="2" s="1"/>
  <c r="AN82" i="2"/>
  <c r="AR82" i="2"/>
  <c r="AR146" i="2"/>
  <c r="AN146" i="2"/>
  <c r="AN271" i="2"/>
  <c r="AR271" i="2"/>
  <c r="AP233" i="2"/>
  <c r="AO114" i="2"/>
  <c r="C491" i="2" s="1"/>
  <c r="AN279" i="2"/>
  <c r="AR279" i="2"/>
  <c r="AR255" i="2"/>
  <c r="AN255" i="2"/>
  <c r="AN54" i="2"/>
  <c r="AR54" i="2"/>
  <c r="AR90" i="2"/>
  <c r="AN90" i="2"/>
  <c r="AO268" i="2"/>
  <c r="C645" i="2" s="1"/>
  <c r="AP234" i="2"/>
  <c r="AN196" i="2"/>
  <c r="AR196" i="2"/>
  <c r="AP357" i="2"/>
  <c r="AO222" i="2"/>
  <c r="C599" i="2" s="1"/>
  <c r="AP256" i="2"/>
  <c r="AP141" i="2"/>
  <c r="AP326" i="2"/>
  <c r="AN326" i="2"/>
  <c r="AR326" i="2"/>
  <c r="AP347" i="2"/>
  <c r="AO139" i="2"/>
  <c r="C516" i="2" s="1"/>
  <c r="AP220" i="2"/>
  <c r="AN185" i="2"/>
  <c r="AR185" i="2"/>
  <c r="AR292" i="2"/>
  <c r="AN292" i="2"/>
  <c r="AP343" i="2"/>
  <c r="AO317" i="2"/>
  <c r="C694" i="2" s="1"/>
  <c r="AO133" i="2"/>
  <c r="C510" i="2" s="1"/>
  <c r="AN132" i="2"/>
  <c r="AR132" i="2"/>
  <c r="AO234" i="2"/>
  <c r="C611" i="2" s="1"/>
  <c r="AP82" i="2"/>
  <c r="AR330" i="2"/>
  <c r="AN330" i="2"/>
  <c r="AP197" i="2"/>
  <c r="AP19" i="2"/>
  <c r="AR13" i="2"/>
  <c r="AN13" i="2"/>
  <c r="AP310" i="2"/>
  <c r="AR39" i="2"/>
  <c r="AN39" i="2"/>
  <c r="AN25" i="2"/>
  <c r="AR25" i="2"/>
  <c r="AN295" i="2"/>
  <c r="AR295" i="2"/>
  <c r="AP129" i="2"/>
  <c r="AN100" i="2"/>
  <c r="AR100" i="2"/>
  <c r="AR243" i="2"/>
  <c r="AN243" i="2"/>
  <c r="AN134" i="2"/>
  <c r="AR134" i="2"/>
  <c r="AP71" i="2"/>
  <c r="AP134" i="2"/>
  <c r="AN305" i="2"/>
  <c r="AR305" i="2"/>
  <c r="AN138" i="2"/>
  <c r="AR138" i="2"/>
  <c r="AO20" i="2"/>
  <c r="C397" i="2" s="1"/>
  <c r="AR300" i="2"/>
  <c r="AN300" i="2"/>
  <c r="AO176" i="2"/>
  <c r="C553" i="2" s="1"/>
  <c r="AP279" i="2"/>
  <c r="AP249" i="2"/>
  <c r="AO309" i="2"/>
  <c r="C686" i="2" s="1"/>
  <c r="AN96" i="2"/>
  <c r="AR96" i="2"/>
  <c r="AO111" i="2"/>
  <c r="C488" i="2" s="1"/>
  <c r="AR274" i="2"/>
  <c r="AN274" i="2"/>
  <c r="AO48" i="2"/>
  <c r="C425" i="2" s="1"/>
  <c r="AO200" i="2"/>
  <c r="C577" i="2" s="1"/>
  <c r="AR168" i="2"/>
  <c r="AN168" i="2"/>
  <c r="AP104" i="2"/>
  <c r="AP171" i="2"/>
  <c r="AO94" i="2"/>
  <c r="C471" i="2" s="1"/>
  <c r="AN136" i="2"/>
  <c r="AR136" i="2"/>
  <c r="AR35" i="2"/>
  <c r="AN35" i="2"/>
  <c r="AR151" i="2"/>
  <c r="AN151" i="2"/>
  <c r="AP81" i="2"/>
  <c r="AP336" i="2"/>
  <c r="AO202" i="2"/>
  <c r="C579" i="2" s="1"/>
  <c r="AP305" i="2"/>
  <c r="AO170" i="2"/>
  <c r="C547" i="2" s="1"/>
  <c r="AO137" i="2"/>
  <c r="C514" i="2" s="1"/>
  <c r="AO167" i="2"/>
  <c r="C544" i="2" s="1"/>
  <c r="AP80" i="2"/>
  <c r="AP116" i="2"/>
  <c r="AO117" i="2"/>
  <c r="C494" i="2" s="1"/>
  <c r="AN249" i="2"/>
  <c r="AR249" i="2"/>
  <c r="AP24" i="2"/>
  <c r="AP258" i="2"/>
  <c r="AN344" i="2"/>
  <c r="AR344" i="2"/>
  <c r="AO51" i="2"/>
  <c r="C428" i="2" s="1"/>
  <c r="AR294" i="2"/>
  <c r="AN294" i="2"/>
  <c r="AP100" i="2"/>
  <c r="AO116" i="2"/>
  <c r="C493" i="2" s="1"/>
  <c r="AO41" i="2"/>
  <c r="C418" i="2" s="1"/>
  <c r="AO233" i="2"/>
  <c r="C610" i="2" s="1"/>
  <c r="AR128" i="2"/>
  <c r="AN128" i="2"/>
  <c r="AR8" i="2"/>
  <c r="AN8" i="2"/>
  <c r="AO76" i="2"/>
  <c r="C453" i="2" s="1"/>
  <c r="AP133" i="2"/>
  <c r="AN43" i="2"/>
  <c r="AR43" i="2"/>
  <c r="AO127" i="2"/>
  <c r="C504" i="2" s="1"/>
  <c r="AO93" i="2"/>
  <c r="AR30" i="2"/>
  <c r="AN30" i="2"/>
  <c r="AP328" i="2"/>
  <c r="AO324" i="2"/>
  <c r="C701" i="2" s="1"/>
  <c r="AR229" i="2"/>
  <c r="AN229" i="2"/>
  <c r="AO215" i="2"/>
  <c r="C592" i="2" s="1"/>
  <c r="AO360" i="2"/>
  <c r="C737" i="2" s="1"/>
  <c r="AP353" i="2"/>
  <c r="AO96" i="2"/>
  <c r="C473" i="2" s="1"/>
  <c r="AP318" i="2"/>
  <c r="AP11" i="2"/>
  <c r="AP58" i="2"/>
  <c r="AR163" i="2"/>
  <c r="AN163" i="2"/>
  <c r="AO23" i="2"/>
  <c r="C400" i="2" s="1"/>
  <c r="AO180" i="2"/>
  <c r="C557" i="2" s="1"/>
  <c r="AR47" i="2"/>
  <c r="AN47" i="2"/>
  <c r="AP210" i="2"/>
  <c r="AP281" i="2"/>
  <c r="AO226" i="2"/>
  <c r="C603" i="2" s="1"/>
  <c r="AO92" i="2"/>
  <c r="C469" i="2" s="1"/>
  <c r="AR62" i="2"/>
  <c r="AN62" i="2"/>
  <c r="AP103" i="2"/>
  <c r="AO352" i="2"/>
  <c r="C729" i="2" s="1"/>
  <c r="AR299" i="2"/>
  <c r="AN299" i="2"/>
  <c r="AO335" i="2"/>
  <c r="C712" i="2" s="1"/>
  <c r="AP64" i="2"/>
  <c r="AN346" i="2"/>
  <c r="AR346" i="2"/>
  <c r="AR156" i="2"/>
  <c r="AN156" i="2"/>
  <c r="AO267" i="2"/>
  <c r="C644" i="2" s="1"/>
  <c r="AO50" i="2"/>
  <c r="C427" i="2" s="1"/>
  <c r="AR275" i="2"/>
  <c r="AN275" i="2"/>
  <c r="AO319" i="2"/>
  <c r="C696" i="2" s="1"/>
  <c r="AN291" i="2"/>
  <c r="AR291" i="2"/>
  <c r="AN334" i="2"/>
  <c r="AR334" i="2"/>
  <c r="AR93" i="2"/>
  <c r="AN93" i="2"/>
  <c r="AN184" i="2"/>
  <c r="AR184" i="2"/>
  <c r="AO120" i="2"/>
  <c r="C497" i="2" s="1"/>
  <c r="AN104" i="2"/>
  <c r="AR104" i="2"/>
  <c r="AP335" i="2"/>
  <c r="AO345" i="2"/>
  <c r="C722" i="2" s="1"/>
  <c r="AR67" i="2"/>
  <c r="AN67" i="2"/>
  <c r="AR7" i="2"/>
  <c r="AN7" i="2"/>
  <c r="AO212" i="2"/>
  <c r="C589" i="2" s="1"/>
  <c r="AP293" i="2"/>
  <c r="AO153" i="2"/>
  <c r="C530" i="2" s="1"/>
  <c r="AR322" i="2"/>
  <c r="AN322" i="2"/>
  <c r="AO90" i="2"/>
  <c r="C467" i="2" s="1"/>
  <c r="AP73" i="2"/>
  <c r="AN85" i="2"/>
  <c r="AR85" i="2"/>
  <c r="AO65" i="2"/>
  <c r="C442" i="2" s="1"/>
  <c r="AO25" i="2"/>
  <c r="C402" i="2" s="1"/>
  <c r="AR338" i="2"/>
  <c r="AN338" i="2"/>
  <c r="AO244" i="2"/>
  <c r="C621" i="2" s="1"/>
  <c r="AP303" i="2"/>
  <c r="AN121" i="2"/>
  <c r="AR121" i="2"/>
  <c r="AN150" i="2"/>
  <c r="AR150" i="2"/>
  <c r="AP79" i="2"/>
  <c r="AR298" i="2"/>
  <c r="AN298" i="2"/>
  <c r="AO74" i="2"/>
  <c r="C451" i="2" s="1"/>
  <c r="AP170" i="2"/>
  <c r="AP291" i="2"/>
  <c r="AR290" i="2"/>
  <c r="AN290" i="2"/>
  <c r="AP54" i="2"/>
  <c r="AO285" i="2"/>
  <c r="C662" i="2" s="1"/>
  <c r="AR341" i="2"/>
  <c r="AN341" i="2"/>
  <c r="AO264" i="2"/>
  <c r="C641" i="2" s="1"/>
  <c r="AP94" i="2"/>
  <c r="AO80" i="2"/>
  <c r="C457" i="2" s="1"/>
  <c r="AP285" i="2"/>
  <c r="AO321" i="2"/>
  <c r="C698" i="2" s="1"/>
  <c r="AN124" i="2"/>
  <c r="AR124" i="2"/>
  <c r="AN171" i="2"/>
  <c r="AR171" i="2"/>
  <c r="AO311" i="2"/>
  <c r="C688" i="2" s="1"/>
  <c r="AP243" i="2"/>
  <c r="AP173" i="2"/>
  <c r="AO147" i="2"/>
  <c r="C524" i="2" s="1"/>
  <c r="AR360" i="2"/>
  <c r="AN360" i="2"/>
  <c r="AR187" i="2"/>
  <c r="AN187" i="2"/>
  <c r="AO354" i="2"/>
  <c r="C731" i="2" s="1"/>
  <c r="AN147" i="2"/>
  <c r="AR147" i="2"/>
  <c r="AR307" i="2"/>
  <c r="AN307" i="2"/>
  <c r="AO230" i="2"/>
  <c r="C607" i="2" s="1"/>
  <c r="AP330" i="2"/>
  <c r="AN122" i="2"/>
  <c r="AR122" i="2"/>
  <c r="AR165" i="2"/>
  <c r="AN165" i="2"/>
  <c r="AN357" i="2"/>
  <c r="AR357" i="2"/>
  <c r="AP309" i="2"/>
  <c r="AR123" i="2"/>
  <c r="AN123" i="2"/>
  <c r="AR194" i="2"/>
  <c r="AN194" i="2"/>
  <c r="AN166" i="2"/>
  <c r="AR166" i="2"/>
  <c r="AO292" i="2"/>
  <c r="C669" i="2" s="1"/>
  <c r="AN302" i="2"/>
  <c r="AR302" i="2"/>
  <c r="AN102" i="2"/>
  <c r="AR102" i="2"/>
  <c r="AO252" i="2"/>
  <c r="C629" i="2" s="1"/>
  <c r="AN218" i="2"/>
  <c r="AR218" i="2"/>
  <c r="AP362" i="2"/>
  <c r="AR18" i="2"/>
  <c r="AN18" i="2"/>
  <c r="AN231" i="2"/>
  <c r="AR231" i="2"/>
  <c r="AN349" i="2"/>
  <c r="AR349" i="2"/>
  <c r="AO108" i="2"/>
  <c r="C485" i="2" s="1"/>
  <c r="AO146" i="2"/>
  <c r="C523" i="2" s="1"/>
  <c r="AP286" i="2"/>
  <c r="AO174" i="2"/>
  <c r="C551" i="2" s="1"/>
  <c r="AP143" i="2"/>
  <c r="AO351" i="2"/>
  <c r="C728" i="2" s="1"/>
  <c r="AP50" i="2"/>
  <c r="AR362" i="2"/>
  <c r="AN362" i="2"/>
  <c r="AP203" i="2"/>
  <c r="AP242" i="2"/>
  <c r="AN45" i="2"/>
  <c r="AR45" i="2"/>
  <c r="AO33" i="2"/>
  <c r="C410" i="2" s="1"/>
  <c r="AO100" i="2"/>
  <c r="C477" i="2" s="1"/>
  <c r="AP93" i="2"/>
  <c r="AP123" i="2"/>
  <c r="AP22" i="2"/>
  <c r="AO149" i="2"/>
  <c r="C526" i="2" s="1"/>
  <c r="AP130" i="2"/>
  <c r="AP352" i="2"/>
  <c r="AP36" i="2"/>
  <c r="L434" i="2"/>
  <c r="AO2" i="2"/>
  <c r="J475" i="2"/>
  <c r="AN161" i="2"/>
  <c r="AR161" i="2"/>
  <c r="AP319" i="2"/>
  <c r="AR217" i="2"/>
  <c r="AN217" i="2"/>
  <c r="AO249" i="2"/>
  <c r="C626" i="2" s="1"/>
  <c r="AP164" i="2"/>
  <c r="AR23" i="2"/>
  <c r="AN23" i="2"/>
  <c r="AR37" i="2"/>
  <c r="AN37" i="2"/>
  <c r="AR11" i="2"/>
  <c r="AN11" i="2"/>
  <c r="AO296" i="2"/>
  <c r="C673" i="2" s="1"/>
  <c r="AO270" i="2"/>
  <c r="C647" i="2" s="1"/>
  <c r="AO216" i="2"/>
  <c r="C593" i="2" s="1"/>
  <c r="AN363" i="2"/>
  <c r="AR363" i="2"/>
  <c r="AP101" i="2"/>
  <c r="AO95" i="2"/>
  <c r="C472" i="2" s="1"/>
  <c r="AO44" i="2"/>
  <c r="C421" i="2" s="1"/>
  <c r="AP175" i="2"/>
  <c r="AO158" i="2"/>
  <c r="C535" i="2" s="1"/>
  <c r="AN327" i="2"/>
  <c r="AR327" i="2"/>
  <c r="AO357" i="2"/>
  <c r="C734" i="2" s="1"/>
  <c r="AN356" i="2"/>
  <c r="AR356" i="2"/>
  <c r="AO260" i="2"/>
  <c r="C637" i="2" s="1"/>
  <c r="AO79" i="2"/>
  <c r="C456" i="2" s="1"/>
  <c r="AP90" i="2"/>
  <c r="AP354" i="2"/>
  <c r="AN80" i="2"/>
  <c r="AR80" i="2"/>
  <c r="AO358" i="2"/>
  <c r="C735" i="2" s="1"/>
  <c r="AN201" i="2"/>
  <c r="AR201" i="2"/>
  <c r="AR53" i="2"/>
  <c r="AN53" i="2"/>
  <c r="AR83" i="2"/>
  <c r="AN83" i="2"/>
  <c r="AO283" i="2"/>
  <c r="C660" i="2" s="1"/>
  <c r="AO99" i="2"/>
  <c r="C476" i="2" s="1"/>
  <c r="AR74" i="2"/>
  <c r="AN74" i="2"/>
  <c r="AP88" i="2"/>
  <c r="AR15" i="2"/>
  <c r="AN15" i="2"/>
  <c r="AP47" i="2"/>
  <c r="AO344" i="2"/>
  <c r="C721" i="2" s="1"/>
  <c r="AR224" i="2"/>
  <c r="AN224" i="2"/>
  <c r="AP66" i="2"/>
  <c r="AR103" i="2"/>
  <c r="AN103" i="2"/>
  <c r="AO210" i="2"/>
  <c r="C587" i="2" s="1"/>
  <c r="AP289" i="2"/>
  <c r="AN99" i="2"/>
  <c r="AR99" i="2"/>
  <c r="AP96" i="2"/>
  <c r="AR228" i="2"/>
  <c r="AN228" i="2"/>
  <c r="AN78" i="2"/>
  <c r="AR78" i="2"/>
  <c r="AN359" i="2"/>
  <c r="AR359" i="2"/>
  <c r="AR86" i="2"/>
  <c r="AN86" i="2"/>
  <c r="AP207" i="2"/>
  <c r="AO229" i="2"/>
  <c r="C606" i="2" s="1"/>
  <c r="AO32" i="2"/>
  <c r="C409" i="2" s="1"/>
  <c r="AO54" i="2"/>
  <c r="C431" i="2" s="1"/>
  <c r="AR131" i="2"/>
  <c r="AN131" i="2"/>
  <c r="AO136" i="2"/>
  <c r="C513" i="2" s="1"/>
  <c r="AP15" i="2"/>
  <c r="AN5" i="2"/>
  <c r="AR5" i="2"/>
  <c r="AN318" i="2"/>
  <c r="AR318" i="2"/>
  <c r="AO168" i="2"/>
  <c r="C545" i="2" s="1"/>
  <c r="AO263" i="2"/>
  <c r="C640" i="2" s="1"/>
  <c r="AP136" i="2"/>
  <c r="AR110" i="2"/>
  <c r="AN110" i="2"/>
  <c r="AN159" i="2"/>
  <c r="AR159" i="2"/>
  <c r="AP163" i="2"/>
  <c r="AP14" i="2"/>
  <c r="AO316" i="2"/>
  <c r="C693" i="2" s="1"/>
  <c r="AP223" i="2"/>
  <c r="AN212" i="2"/>
  <c r="AR212" i="2"/>
  <c r="AP86" i="2"/>
  <c r="AP315" i="2"/>
  <c r="AR17" i="2"/>
  <c r="AN17" i="2"/>
  <c r="AP67" i="2"/>
  <c r="AP262" i="2"/>
  <c r="AO242" i="2"/>
  <c r="C619" i="2" s="1"/>
  <c r="AR324" i="2"/>
  <c r="AN324" i="2"/>
  <c r="AP342" i="2"/>
  <c r="AO208" i="2"/>
  <c r="C585" i="2" s="1"/>
  <c r="AP273" i="2"/>
  <c r="AP127" i="2"/>
  <c r="AP110" i="2"/>
  <c r="AO281" i="2"/>
  <c r="C658" i="2" s="1"/>
  <c r="AO4" i="2"/>
  <c r="C381" i="2" s="1"/>
  <c r="AP62" i="2"/>
  <c r="AO58" i="2"/>
  <c r="C435" i="2" s="1"/>
  <c r="AN332" i="2"/>
  <c r="AR332" i="2"/>
  <c r="AP189" i="2"/>
  <c r="AP186" i="2"/>
  <c r="AR19" i="2"/>
  <c r="AN19" i="2"/>
  <c r="AN192" i="2"/>
  <c r="AR192" i="2"/>
  <c r="AP274" i="2"/>
  <c r="AR107" i="2"/>
  <c r="AN107" i="2"/>
  <c r="AO290" i="2"/>
  <c r="C667" i="2" s="1"/>
  <c r="AO37" i="2"/>
  <c r="C414" i="2" s="1"/>
  <c r="AP23" i="2"/>
  <c r="AP92" i="2"/>
  <c r="AP216" i="2"/>
  <c r="AO214" i="2"/>
  <c r="C591" i="2" s="1"/>
  <c r="AR71" i="2"/>
  <c r="AN71" i="2"/>
  <c r="AN223" i="2"/>
  <c r="AR223" i="2"/>
  <c r="AP344" i="2"/>
  <c r="AP99" i="2"/>
  <c r="AN310" i="2"/>
  <c r="AR310" i="2"/>
  <c r="AO304" i="2"/>
  <c r="C681" i="2" s="1"/>
  <c r="AO112" i="2"/>
  <c r="C489" i="2" s="1"/>
  <c r="AR301" i="2"/>
  <c r="AN301" i="2"/>
  <c r="AP167" i="2"/>
  <c r="AP218" i="2"/>
  <c r="AP298" i="2"/>
  <c r="AO173" i="2"/>
  <c r="C550" i="2" s="1"/>
  <c r="AR114" i="2"/>
  <c r="AN114" i="2"/>
  <c r="AP241" i="2"/>
  <c r="AP259" i="2"/>
  <c r="AN211" i="2"/>
  <c r="AR211" i="2"/>
  <c r="AP98" i="2"/>
  <c r="AP180" i="2"/>
  <c r="AO218" i="2"/>
  <c r="C595" i="2" s="1"/>
  <c r="AP59" i="2"/>
  <c r="AO165" i="2"/>
  <c r="C542" i="2" s="1"/>
  <c r="AR118" i="2"/>
  <c r="AN118" i="2"/>
  <c r="AO315" i="2"/>
  <c r="C692" i="2" s="1"/>
  <c r="AR125" i="2"/>
  <c r="AN125" i="2"/>
  <c r="AN309" i="2"/>
  <c r="AR309" i="2"/>
  <c r="AR73" i="2"/>
  <c r="AN73" i="2"/>
  <c r="AO8" i="2"/>
  <c r="AP280" i="2"/>
  <c r="AN84" i="2"/>
  <c r="AR84" i="2"/>
  <c r="AR354" i="2"/>
  <c r="AN354" i="2"/>
  <c r="AO341" i="2"/>
  <c r="C718" i="2" s="1"/>
  <c r="AN20" i="2"/>
  <c r="AR20" i="2"/>
  <c r="AR127" i="2"/>
  <c r="AN127" i="2"/>
  <c r="AO118" i="2"/>
  <c r="C495" i="2" s="1"/>
  <c r="AN313" i="2"/>
  <c r="AR313" i="2"/>
  <c r="AP77" i="2"/>
  <c r="AP337" i="2"/>
  <c r="AO254" i="2"/>
  <c r="C631" i="2" s="1"/>
  <c r="AO184" i="2"/>
  <c r="C561" i="2" s="1"/>
  <c r="AP55" i="2"/>
  <c r="AP363" i="2"/>
  <c r="AP350" i="2"/>
  <c r="AR77" i="2"/>
  <c r="AN77" i="2"/>
  <c r="AN179" i="2"/>
  <c r="AR179" i="2"/>
  <c r="AP41" i="2"/>
  <c r="AP312" i="2"/>
  <c r="AR263" i="2"/>
  <c r="AN263" i="2"/>
  <c r="AN355" i="2"/>
  <c r="AR355" i="2"/>
  <c r="AN312" i="2"/>
  <c r="AR312" i="2"/>
  <c r="AP313" i="2"/>
  <c r="AP193" i="2"/>
  <c r="AR49" i="2"/>
  <c r="AN49" i="2"/>
  <c r="AP155" i="2"/>
  <c r="AP118" i="2"/>
  <c r="AN112" i="2"/>
  <c r="AR112" i="2"/>
  <c r="AP355" i="2"/>
  <c r="AP206" i="2"/>
  <c r="AO185" i="2"/>
  <c r="C562" i="2" s="1"/>
  <c r="AO326" i="2"/>
  <c r="C703" i="2" s="1"/>
  <c r="AP360" i="2"/>
  <c r="AO21" i="2"/>
  <c r="C398" i="2" s="1"/>
  <c r="AO72" i="2"/>
  <c r="C449" i="2" s="1"/>
  <c r="AO287" i="2"/>
  <c r="C664" i="2" s="1"/>
  <c r="AO186" i="2"/>
  <c r="C563" i="2" s="1"/>
  <c r="AP9" i="2"/>
  <c r="AO195" i="2"/>
  <c r="C572" i="2" s="1"/>
  <c r="AR152" i="2"/>
  <c r="AN152" i="2"/>
  <c r="AP18" i="2"/>
  <c r="AO140" i="2"/>
  <c r="C517" i="2" s="1"/>
  <c r="AO102" i="2"/>
  <c r="C479" i="2" s="1"/>
  <c r="AP263" i="2"/>
  <c r="AO280" i="2"/>
  <c r="C657" i="2" s="1"/>
  <c r="AN248" i="2"/>
  <c r="AR248" i="2"/>
  <c r="AO179" i="2"/>
  <c r="C556" i="2" s="1"/>
  <c r="AP267" i="2"/>
  <c r="AO248" i="2"/>
  <c r="C625" i="2" s="1"/>
  <c r="AR335" i="2"/>
  <c r="AN335" i="2"/>
  <c r="AN237" i="2"/>
  <c r="AR237" i="2"/>
  <c r="AR282" i="2"/>
  <c r="AN282" i="2"/>
  <c r="AP235" i="2"/>
  <c r="AN317" i="2"/>
  <c r="AR317" i="2"/>
  <c r="AP250" i="2"/>
  <c r="AP301" i="2"/>
  <c r="AO89" i="2"/>
  <c r="C466" i="2" s="1"/>
  <c r="AN343" i="2"/>
  <c r="AR343" i="2"/>
  <c r="AO247" i="2"/>
  <c r="C624" i="2" s="1"/>
  <c r="AP105" i="2"/>
  <c r="AR304" i="2"/>
  <c r="AN304" i="2"/>
  <c r="AP183" i="2"/>
  <c r="AO43" i="2"/>
  <c r="C420" i="2" s="1"/>
  <c r="AO189" i="2"/>
  <c r="C566" i="2" s="1"/>
  <c r="AP251" i="2"/>
  <c r="AN140" i="2"/>
  <c r="AR140" i="2"/>
  <c r="AR350" i="2"/>
  <c r="AN350" i="2"/>
  <c r="AN225" i="2"/>
  <c r="AR225" i="2"/>
  <c r="AP45" i="2"/>
  <c r="AO52" i="2"/>
  <c r="C429" i="2" s="1"/>
  <c r="AO275" i="2"/>
  <c r="C652" i="2" s="1"/>
  <c r="AR137" i="2"/>
  <c r="AN137" i="2"/>
  <c r="AN32" i="2"/>
  <c r="AR32" i="2"/>
  <c r="AO56" i="2"/>
  <c r="C433" i="2" s="1"/>
  <c r="AP316" i="2"/>
  <c r="AP257" i="2"/>
  <c r="AP227" i="2"/>
  <c r="AO338" i="2"/>
  <c r="C715" i="2" s="1"/>
  <c r="AN28" i="2"/>
  <c r="AR28" i="2"/>
  <c r="AO261" i="2"/>
  <c r="C638" i="2" s="1"/>
  <c r="AP61" i="2"/>
  <c r="AP5" i="2"/>
  <c r="AO334" i="2"/>
  <c r="C711" i="2" s="1"/>
  <c r="AO113" i="2"/>
  <c r="C490" i="2" s="1"/>
  <c r="AO172" i="2"/>
  <c r="C549" i="2" s="1"/>
  <c r="AR88" i="2"/>
  <c r="AN88" i="2"/>
  <c r="AR336" i="2"/>
  <c r="AN336" i="2"/>
  <c r="AR358" i="2"/>
  <c r="AN358" i="2"/>
  <c r="AN227" i="2"/>
  <c r="AR227" i="2"/>
  <c r="AN283" i="2"/>
  <c r="AR283" i="2"/>
  <c r="AO235" i="2"/>
  <c r="C612" i="2" s="1"/>
  <c r="AN245" i="2"/>
  <c r="AR245" i="2"/>
  <c r="AO279" i="2"/>
  <c r="C656" i="2" s="1"/>
  <c r="AO336" i="2"/>
  <c r="C713" i="2" s="1"/>
  <c r="AP187" i="2"/>
  <c r="AP31" i="2"/>
  <c r="AO204" i="2"/>
  <c r="C581" i="2" s="1"/>
  <c r="AR315" i="2"/>
  <c r="AN315" i="2"/>
  <c r="AN280" i="2"/>
  <c r="AR280" i="2"/>
  <c r="AO71" i="2"/>
  <c r="C448" i="2" s="1"/>
  <c r="AN61" i="2"/>
  <c r="AR61" i="2"/>
  <c r="AO196" i="2"/>
  <c r="C573" i="2" s="1"/>
  <c r="AN333" i="2"/>
  <c r="AR333" i="2"/>
  <c r="AP245" i="2"/>
  <c r="AN95" i="2"/>
  <c r="AR95" i="2"/>
  <c r="AN16" i="2"/>
  <c r="AR16" i="2"/>
  <c r="AP211" i="2"/>
  <c r="AO14" i="2"/>
  <c r="AO286" i="2"/>
  <c r="C663" i="2" s="1"/>
  <c r="AN256" i="2"/>
  <c r="AR256" i="2"/>
  <c r="AN176" i="2"/>
  <c r="AR176" i="2"/>
  <c r="AP224" i="2"/>
  <c r="AP137" i="2"/>
  <c r="AO73" i="2"/>
  <c r="C450" i="2" s="1"/>
  <c r="AO38" i="2"/>
  <c r="C415" i="2" s="1"/>
  <c r="AP278" i="2"/>
  <c r="AP287" i="2"/>
  <c r="AO125" i="2"/>
  <c r="C502" i="2" s="1"/>
  <c r="AO159" i="2"/>
  <c r="C536" i="2" s="1"/>
  <c r="AP29" i="2"/>
  <c r="AR9" i="2"/>
  <c r="AN9" i="2"/>
  <c r="AN258" i="2"/>
  <c r="AR258" i="2"/>
  <c r="AO282" i="2"/>
  <c r="C659" i="2" s="1"/>
  <c r="AP208" i="2"/>
  <c r="AO238" i="2"/>
  <c r="C615" i="2" s="1"/>
  <c r="AR27" i="2"/>
  <c r="AN27" i="2"/>
  <c r="AN133" i="2"/>
  <c r="AR133" i="2"/>
  <c r="AO240" i="2"/>
  <c r="C617" i="2" s="1"/>
  <c r="AO39" i="2"/>
  <c r="C416" i="2" s="1"/>
  <c r="AP213" i="2"/>
  <c r="AO55" i="2"/>
  <c r="C432" i="2" s="1"/>
  <c r="AP225" i="2"/>
  <c r="AO85" i="2"/>
  <c r="C462" i="2" s="1"/>
  <c r="AO64" i="2"/>
  <c r="C441" i="2" s="1"/>
  <c r="AR242" i="2"/>
  <c r="AN242" i="2"/>
  <c r="AP184" i="2"/>
  <c r="AN232" i="2"/>
  <c r="AR232" i="2"/>
  <c r="AN284" i="2"/>
  <c r="AR284" i="2"/>
  <c r="AR41" i="2"/>
  <c r="AN41" i="2"/>
  <c r="AP324" i="2"/>
  <c r="AN2" i="2"/>
  <c r="AR2" i="2"/>
  <c r="J474" i="2"/>
  <c r="L433" i="2"/>
  <c r="AR172" i="2"/>
  <c r="AN172" i="2"/>
  <c r="AO192" i="2"/>
  <c r="C569" i="2" s="1"/>
  <c r="AO69" i="2"/>
  <c r="C446" i="2" s="1"/>
  <c r="AO323" i="2"/>
  <c r="C700" i="2" s="1"/>
  <c r="AO274" i="2"/>
  <c r="C651" i="2" s="1"/>
  <c r="AP146" i="2"/>
  <c r="AR321" i="2"/>
  <c r="AN321" i="2"/>
  <c r="AR214" i="2"/>
  <c r="AN214" i="2"/>
  <c r="AP346" i="2"/>
  <c r="AN51" i="2"/>
  <c r="AR51" i="2"/>
  <c r="AO30" i="2"/>
  <c r="C407" i="2" s="1"/>
  <c r="AO293" i="2"/>
  <c r="C670" i="2" s="1"/>
  <c r="AP269" i="2"/>
  <c r="AO26" i="2"/>
  <c r="C403" i="2" s="1"/>
  <c r="AP128" i="2"/>
  <c r="AN252" i="2"/>
  <c r="AR252" i="2"/>
  <c r="AP85" i="2"/>
  <c r="AO327" i="2"/>
  <c r="C704" i="2" s="1"/>
  <c r="AO295" i="2"/>
  <c r="C672" i="2" s="1"/>
  <c r="AP229" i="2"/>
  <c r="AR92" i="2"/>
  <c r="AN92" i="2"/>
  <c r="AO225" i="2"/>
  <c r="C602" i="2" s="1"/>
  <c r="AO302" i="2"/>
  <c r="C679" i="2" s="1"/>
  <c r="AO105" i="2"/>
  <c r="C482" i="2" s="1"/>
  <c r="AP195" i="2"/>
  <c r="AP248" i="2"/>
  <c r="AR190" i="2"/>
  <c r="AN190" i="2"/>
  <c r="AO7" i="2"/>
  <c r="C384" i="2" s="1"/>
  <c r="AP247" i="2"/>
  <c r="AP57" i="2"/>
  <c r="AR204" i="2"/>
  <c r="AN204" i="2"/>
  <c r="AO201" i="2"/>
  <c r="C578" i="2" s="1"/>
  <c r="AP126" i="2"/>
  <c r="AO148" i="2"/>
  <c r="C525" i="2" s="1"/>
  <c r="AO152" i="2"/>
  <c r="C529" i="2" s="1"/>
  <c r="AP198" i="2"/>
  <c r="AP271" i="2"/>
  <c r="AO340" i="2"/>
  <c r="C717" i="2" s="1"/>
  <c r="AP153" i="2"/>
  <c r="AO128" i="2"/>
  <c r="C505" i="2" s="1"/>
  <c r="AN238" i="2"/>
  <c r="AR238" i="2"/>
  <c r="AO206" i="2"/>
  <c r="C583" i="2" s="1"/>
  <c r="AO303" i="2"/>
  <c r="C680" i="2" s="1"/>
  <c r="AP300" i="2"/>
  <c r="AO307" i="2"/>
  <c r="C684" i="2" s="1"/>
  <c r="AP120" i="2"/>
  <c r="AN193" i="2"/>
  <c r="AR193" i="2"/>
  <c r="AO310" i="2"/>
  <c r="C687" i="2" s="1"/>
  <c r="AP21" i="2"/>
  <c r="AP338" i="2"/>
  <c r="AN208" i="2"/>
  <c r="AR208" i="2"/>
  <c r="AR325" i="2"/>
  <c r="AN325" i="2"/>
  <c r="AN144" i="2"/>
  <c r="AR144" i="2"/>
  <c r="AO363" i="2"/>
  <c r="C740" i="2" s="1"/>
  <c r="AN273" i="2"/>
  <c r="AR273" i="2"/>
  <c r="AR182" i="2"/>
  <c r="AN182" i="2"/>
  <c r="AO115" i="2"/>
  <c r="C492" i="2" s="1"/>
  <c r="AO193" i="2"/>
  <c r="C570" i="2" s="1"/>
  <c r="AP205" i="2"/>
  <c r="AP265" i="2"/>
  <c r="AO91" i="2"/>
  <c r="C468" i="2" s="1"/>
  <c r="AN277" i="2"/>
  <c r="AR277" i="2"/>
  <c r="AO221" i="2"/>
  <c r="C598" i="2" s="1"/>
  <c r="AO60" i="2"/>
  <c r="C437" i="2" s="1"/>
  <c r="AP37" i="2"/>
  <c r="AO59" i="2"/>
  <c r="C436" i="2" s="1"/>
  <c r="AR24" i="2"/>
  <c r="AN24" i="2"/>
  <c r="AN42" i="2"/>
  <c r="AR42" i="2"/>
  <c r="AP181" i="2"/>
  <c r="AO157" i="2"/>
  <c r="C534" i="2" s="1"/>
  <c r="AP51" i="2"/>
  <c r="AR98" i="2"/>
  <c r="AN98" i="2"/>
  <c r="AO236" i="2"/>
  <c r="C613" i="2" s="1"/>
  <c r="AO122" i="2"/>
  <c r="C499" i="2" s="1"/>
  <c r="AO246" i="2"/>
  <c r="C623" i="2" s="1"/>
  <c r="AP151" i="2"/>
  <c r="AP72" i="2"/>
  <c r="AP321" i="2"/>
  <c r="AO40" i="2"/>
  <c r="C417" i="2" s="1"/>
  <c r="AR119" i="2"/>
  <c r="AN119" i="2"/>
  <c r="AP168" i="2"/>
  <c r="AP217" i="2"/>
  <c r="AO134" i="2"/>
  <c r="C511" i="2" s="1"/>
  <c r="AP13" i="2"/>
  <c r="AO361" i="2"/>
  <c r="C738" i="2" s="1"/>
  <c r="AR108" i="2"/>
  <c r="AN108" i="2"/>
  <c r="AR111" i="2"/>
  <c r="AN111" i="2"/>
  <c r="AO156" i="2"/>
  <c r="C533" i="2" s="1"/>
  <c r="AN268" i="2"/>
  <c r="AR268" i="2"/>
  <c r="AP331" i="2"/>
  <c r="AO266" i="2"/>
  <c r="C643" i="2" s="1"/>
  <c r="AP246" i="2"/>
  <c r="AO75" i="2"/>
  <c r="C452" i="2" s="1"/>
  <c r="AP311" i="2"/>
  <c r="AO13" i="2"/>
  <c r="C390" i="2" s="1"/>
  <c r="AP306" i="2"/>
  <c r="AP3" i="2"/>
  <c r="AN285" i="2"/>
  <c r="AR285" i="2"/>
  <c r="AO88" i="2"/>
  <c r="C465" i="2" s="1"/>
  <c r="AP97" i="2"/>
  <c r="AP76" i="2"/>
  <c r="AP74" i="2"/>
  <c r="AP332" i="2"/>
  <c r="AO70" i="2"/>
  <c r="C447" i="2" s="1"/>
  <c r="AR265" i="2"/>
  <c r="AN265" i="2"/>
  <c r="AO314" i="2"/>
  <c r="C691" i="2" s="1"/>
  <c r="AO53" i="2"/>
  <c r="C430" i="2" s="1"/>
  <c r="AP166" i="2"/>
  <c r="AP2" i="2"/>
  <c r="AO83" i="2"/>
  <c r="C460" i="2" s="1"/>
  <c r="AR353" i="2"/>
  <c r="AN353" i="2"/>
  <c r="AO27" i="2"/>
  <c r="C404" i="2" s="1"/>
  <c r="AO190" i="2"/>
  <c r="C567" i="2" s="1"/>
  <c r="AO301" i="2"/>
  <c r="C678" i="2" s="1"/>
  <c r="AP157" i="2"/>
  <c r="AP40" i="2"/>
  <c r="AP276" i="2"/>
  <c r="AN297" i="2"/>
  <c r="AR297" i="2"/>
  <c r="AN69" i="2"/>
  <c r="AR69" i="2"/>
  <c r="AO194" i="2"/>
  <c r="C571" i="2" s="1"/>
  <c r="AP84" i="2"/>
  <c r="AP252" i="2"/>
  <c r="AP348" i="2"/>
  <c r="AP125" i="2"/>
  <c r="AP159" i="2"/>
  <c r="AP53" i="2"/>
  <c r="AO126" i="2"/>
  <c r="C503" i="2" s="1"/>
  <c r="AP253" i="2"/>
  <c r="AN347" i="2"/>
  <c r="AR347" i="2"/>
  <c r="AP108" i="2"/>
  <c r="AR70" i="2"/>
  <c r="AN70" i="2"/>
  <c r="AN91" i="2"/>
  <c r="AR91" i="2"/>
  <c r="AR207" i="2"/>
  <c r="AN207" i="2"/>
  <c r="AO312" i="2"/>
  <c r="C689" i="2" s="1"/>
  <c r="AO17" i="2"/>
  <c r="C394" i="2" s="1"/>
  <c r="AP288" i="2"/>
  <c r="AN240" i="2"/>
  <c r="AR240" i="2"/>
  <c r="AP202" i="2"/>
  <c r="AO343" i="2"/>
  <c r="C720" i="2" s="1"/>
  <c r="AP8" i="2"/>
  <c r="AP144" i="2"/>
  <c r="AN4" i="2"/>
  <c r="AR4" i="2"/>
  <c r="AR339" i="2"/>
  <c r="AN339" i="2"/>
  <c r="AO35" i="2"/>
  <c r="C412" i="2" s="1"/>
  <c r="AN31" i="2"/>
  <c r="AR31" i="2"/>
  <c r="AN106" i="2"/>
  <c r="AR106" i="2"/>
  <c r="AO61" i="2"/>
  <c r="C438" i="2" s="1"/>
  <c r="AR34" i="2"/>
  <c r="AN34" i="2"/>
  <c r="AR173" i="2"/>
  <c r="AN173" i="2"/>
  <c r="AO239" i="2"/>
  <c r="C616" i="2" s="1"/>
  <c r="AP179" i="2"/>
  <c r="AO227" i="2"/>
  <c r="C604" i="2" s="1"/>
  <c r="AP177" i="2"/>
  <c r="AP176" i="2"/>
  <c r="AR46" i="2"/>
  <c r="AN46" i="2"/>
  <c r="AP152" i="2"/>
  <c r="AP68" i="2"/>
  <c r="AP142" i="2"/>
  <c r="AO211" i="2"/>
  <c r="C588" i="2" s="1"/>
  <c r="AP219" i="2"/>
  <c r="AN63" i="2"/>
  <c r="AR63" i="2"/>
  <c r="AN97" i="2"/>
  <c r="AR97" i="2"/>
  <c r="AP132" i="2"/>
  <c r="AO86" i="2"/>
  <c r="C463" i="2" s="1"/>
  <c r="AP91" i="2"/>
  <c r="AO31" i="2"/>
  <c r="C408" i="2" s="1"/>
  <c r="AP4" i="2"/>
  <c r="AR60" i="2"/>
  <c r="AN60" i="2"/>
  <c r="AN205" i="2"/>
  <c r="AR205" i="2"/>
  <c r="AO87" i="2"/>
  <c r="C464" i="2" s="1"/>
  <c r="AO355" i="2"/>
  <c r="C732" i="2" s="1"/>
  <c r="AO223" i="2"/>
  <c r="C600" i="2" s="1"/>
  <c r="AO349" i="2"/>
  <c r="C726" i="2" s="1"/>
  <c r="AP43" i="2"/>
  <c r="AR22" i="2"/>
  <c r="AN22" i="2"/>
  <c r="AP7" i="2"/>
  <c r="AR87" i="2"/>
  <c r="AN87" i="2"/>
  <c r="AO188" i="2"/>
  <c r="C565" i="2" s="1"/>
  <c r="AO103" i="2"/>
  <c r="C480" i="2" s="1"/>
  <c r="AP16" i="2"/>
  <c r="AR154" i="2"/>
  <c r="AN154" i="2"/>
  <c r="AP221" i="2"/>
  <c r="AN230" i="2"/>
  <c r="AR230" i="2"/>
  <c r="AR158" i="2"/>
  <c r="AN158" i="2"/>
  <c r="AP32" i="2"/>
  <c r="AP327" i="2"/>
  <c r="AO36" i="2"/>
  <c r="C413" i="2" s="1"/>
  <c r="AN209" i="2"/>
  <c r="AR209" i="2"/>
  <c r="AN253" i="2"/>
  <c r="AR253" i="2"/>
  <c r="AO24" i="2"/>
  <c r="C401" i="2" s="1"/>
  <c r="AO142" i="2"/>
  <c r="C519" i="2" s="1"/>
  <c r="AP228" i="2"/>
  <c r="AP351" i="2"/>
  <c r="AP268" i="2"/>
  <c r="AR329" i="2"/>
  <c r="AN329" i="2"/>
  <c r="AN29" i="2"/>
  <c r="AR29" i="2"/>
  <c r="AP230" i="2"/>
  <c r="AO276" i="2"/>
  <c r="C653" i="2" s="1"/>
  <c r="AP17" i="2"/>
  <c r="AR199" i="2"/>
  <c r="AN199" i="2"/>
  <c r="AO163" i="2"/>
  <c r="C540" i="2" s="1"/>
  <c r="AR337" i="2"/>
  <c r="AN337" i="2"/>
  <c r="AO271" i="2"/>
  <c r="C648" i="2" s="1"/>
  <c r="AR288" i="2"/>
  <c r="AN288" i="2"/>
  <c r="AR213" i="2"/>
  <c r="AN213" i="2"/>
  <c r="AP340" i="2"/>
  <c r="AP215" i="2"/>
  <c r="AO288" i="2"/>
  <c r="C665" i="2" s="1"/>
  <c r="AP145" i="2"/>
  <c r="AR261" i="2"/>
  <c r="AN261" i="2"/>
  <c r="AP182" i="2"/>
  <c r="AO256" i="2"/>
  <c r="C633" i="2" s="1"/>
  <c r="AP349" i="2"/>
  <c r="AN116" i="2"/>
  <c r="AR116" i="2"/>
  <c r="AO68" i="2"/>
  <c r="C445" i="2" s="1"/>
  <c r="AN191" i="2"/>
  <c r="AR191" i="2"/>
  <c r="AO28" i="2"/>
  <c r="C405" i="2" s="1"/>
  <c r="AO130" i="2"/>
  <c r="C507" i="2" s="1"/>
  <c r="AN89" i="2"/>
  <c r="AR89" i="2"/>
  <c r="AP264" i="2"/>
  <c r="AP260" i="2"/>
  <c r="AO305" i="2"/>
  <c r="C682" i="2" s="1"/>
  <c r="AR189" i="2"/>
  <c r="AN189" i="2"/>
  <c r="AN66" i="2"/>
  <c r="AR66" i="2"/>
  <c r="AO259" i="2"/>
  <c r="C636" i="2" s="1"/>
  <c r="AP158" i="2"/>
  <c r="AR130" i="2"/>
  <c r="AN130" i="2"/>
  <c r="AN216" i="2"/>
  <c r="AR216" i="2"/>
  <c r="AP237" i="2"/>
  <c r="AO251" i="2"/>
  <c r="C628" i="2" s="1"/>
  <c r="AP109" i="2"/>
  <c r="AR303" i="2"/>
  <c r="AN303" i="2"/>
  <c r="AO11" i="2"/>
  <c r="C388" i="2" s="1"/>
  <c r="AP200" i="2"/>
  <c r="AO150" i="2"/>
  <c r="C527" i="2" s="1"/>
  <c r="AO98" i="2"/>
  <c r="C475" i="2" s="1"/>
  <c r="AP113" i="2"/>
  <c r="AR57" i="2"/>
  <c r="AN57" i="2"/>
  <c r="AP299" i="2"/>
  <c r="AO217" i="2"/>
  <c r="C594" i="2" s="1"/>
  <c r="AO231" i="2"/>
  <c r="C608" i="2" s="1"/>
  <c r="AN342" i="2"/>
  <c r="AR342" i="2"/>
  <c r="AP63" i="2"/>
  <c r="AP334" i="2"/>
  <c r="AO67" i="2"/>
  <c r="AN109" i="2"/>
  <c r="AR109" i="2"/>
  <c r="AN206" i="2"/>
  <c r="AR206" i="2"/>
  <c r="AN278" i="2"/>
  <c r="AR278" i="2"/>
  <c r="AO356" i="2"/>
  <c r="C733" i="2" s="1"/>
  <c r="AR188" i="2"/>
  <c r="AN188" i="2"/>
  <c r="AO63" i="2"/>
  <c r="C440" i="2" s="1"/>
  <c r="AR272" i="2"/>
  <c r="AN272" i="2"/>
  <c r="AP156" i="2"/>
  <c r="AR183" i="2"/>
  <c r="AN183" i="2"/>
  <c r="AO49" i="2"/>
  <c r="C426" i="2" s="1"/>
  <c r="AP209" i="2"/>
  <c r="AP42" i="2"/>
  <c r="AN197" i="2"/>
  <c r="AR197" i="2"/>
  <c r="AN64" i="2"/>
  <c r="AR64" i="2"/>
  <c r="AO77" i="2"/>
  <c r="C454" i="2" s="1"/>
  <c r="AO124" i="2"/>
  <c r="C501" i="2" s="1"/>
  <c r="AR38" i="2"/>
  <c r="AN38" i="2"/>
  <c r="AN155" i="2"/>
  <c r="AR155" i="2"/>
  <c r="AP236" i="2"/>
  <c r="AO131" i="2"/>
  <c r="C508" i="2" s="1"/>
  <c r="AO255" i="2"/>
  <c r="C632" i="2" s="1"/>
  <c r="AR250" i="2"/>
  <c r="AN250" i="2"/>
  <c r="AP131" i="2"/>
  <c r="AN148" i="2"/>
  <c r="AR148" i="2"/>
  <c r="AP154" i="2"/>
  <c r="AO308" i="2"/>
  <c r="C685" i="2" s="1"/>
  <c r="AO253" i="2"/>
  <c r="C630" i="2" s="1"/>
  <c r="AP302" i="2"/>
  <c r="AO332" i="2"/>
  <c r="C709" i="2" s="1"/>
  <c r="AP255" i="2"/>
  <c r="AO306" i="2"/>
  <c r="C683" i="2" s="1"/>
  <c r="AP122" i="2"/>
  <c r="AO347" i="2"/>
  <c r="C724" i="2" s="1"/>
  <c r="AO154" i="2"/>
  <c r="C531" i="2" s="1"/>
  <c r="AP308" i="2"/>
  <c r="AR286" i="2"/>
  <c r="AN286" i="2"/>
  <c r="AO199" i="2"/>
  <c r="C576" i="2" s="1"/>
  <c r="AP44" i="2"/>
  <c r="AO6" i="2"/>
  <c r="C383" i="2" s="1"/>
  <c r="J472" i="2"/>
  <c r="AO3" i="2"/>
  <c r="AP28" i="2"/>
  <c r="AP320" i="2"/>
  <c r="AO160" i="2"/>
  <c r="C537" i="2" s="1"/>
  <c r="AP358" i="2"/>
  <c r="AO328" i="2"/>
  <c r="C705" i="2" s="1"/>
  <c r="AR180" i="2"/>
  <c r="AN180" i="2"/>
  <c r="AN293" i="2"/>
  <c r="AR293" i="2"/>
  <c r="AR215" i="2"/>
  <c r="AN215" i="2"/>
  <c r="AO257" i="2"/>
  <c r="C634" i="2" s="1"/>
  <c r="AR266" i="2"/>
  <c r="AN266" i="2"/>
  <c r="AR244" i="2"/>
  <c r="AN244" i="2"/>
  <c r="AO348" i="2"/>
  <c r="C725" i="2" s="1"/>
  <c r="AO181" i="2"/>
  <c r="C558" i="2" s="1"/>
  <c r="AN126" i="2"/>
  <c r="AR126" i="2"/>
  <c r="AR174" i="2"/>
  <c r="AN174" i="2"/>
  <c r="AP191" i="2"/>
  <c r="AP254" i="2"/>
  <c r="AO141" i="2"/>
  <c r="C518" i="2" s="1"/>
  <c r="AP325" i="2"/>
  <c r="AP172" i="2"/>
  <c r="AP114" i="2"/>
  <c r="AO101" i="2"/>
  <c r="C478" i="2" s="1"/>
  <c r="AO135" i="2"/>
  <c r="C512" i="2" s="1"/>
  <c r="AO346" i="2"/>
  <c r="C723" i="2" s="1"/>
  <c r="AP284" i="2"/>
  <c r="AP295" i="2"/>
  <c r="AP188" i="2"/>
  <c r="AP26" i="2"/>
  <c r="AN262" i="2"/>
  <c r="AR262" i="2"/>
  <c r="AN226" i="2"/>
  <c r="AR226" i="2"/>
  <c r="AO207" i="2"/>
  <c r="C584" i="2" s="1"/>
  <c r="AN52" i="2"/>
  <c r="AR52" i="2"/>
  <c r="AO278" i="2"/>
  <c r="C655" i="2" s="1"/>
  <c r="AP345" i="2"/>
  <c r="AN203" i="2"/>
  <c r="AR203" i="2"/>
  <c r="AP34" i="2"/>
  <c r="AO258" i="2"/>
  <c r="C635" i="2" s="1"/>
  <c r="AP329" i="2"/>
  <c r="AN178" i="2"/>
  <c r="AR178" i="2"/>
  <c r="AP20" i="2"/>
  <c r="AP290" i="2"/>
  <c r="AR94" i="2"/>
  <c r="AN94" i="2"/>
  <c r="AO245" i="2"/>
  <c r="C622" i="2" s="1"/>
  <c r="AO273" i="2"/>
  <c r="C650" i="2" s="1"/>
  <c r="AP185" i="2"/>
  <c r="AR246" i="2"/>
  <c r="AN246" i="2"/>
  <c r="AO294" i="2"/>
  <c r="C671" i="2" s="1"/>
  <c r="AP161" i="2"/>
  <c r="AR139" i="2"/>
  <c r="AN139" i="2"/>
  <c r="AR316" i="2"/>
  <c r="AN316" i="2"/>
  <c r="AN352" i="2"/>
  <c r="AR352" i="2"/>
  <c r="AO144" i="2"/>
  <c r="C521" i="2" s="1"/>
  <c r="AR181" i="2"/>
  <c r="AN181" i="2"/>
  <c r="AR257" i="2"/>
  <c r="AN257" i="2"/>
  <c r="AO272" i="2"/>
  <c r="C649" i="2" s="1"/>
  <c r="AR269" i="2"/>
  <c r="AN269" i="2"/>
  <c r="AP196" i="2"/>
  <c r="AP201" i="2"/>
  <c r="AP111" i="2"/>
  <c r="AO46" i="2"/>
  <c r="C423" i="2" s="1"/>
  <c r="AN10" i="2"/>
  <c r="AR10" i="2"/>
  <c r="AP204" i="2"/>
  <c r="AR270" i="2"/>
  <c r="AN270" i="2"/>
  <c r="AR153" i="2"/>
  <c r="AN153" i="2"/>
  <c r="AR202" i="2"/>
  <c r="AN202" i="2"/>
  <c r="AP294" i="2"/>
  <c r="AO237" i="2"/>
  <c r="C614" i="2" s="1"/>
  <c r="AR170" i="2"/>
  <c r="AN170" i="2"/>
  <c r="AR21" i="2"/>
  <c r="AN21" i="2"/>
  <c r="AP149" i="2"/>
  <c r="AN48" i="2"/>
  <c r="AR48" i="2"/>
  <c r="AO161" i="2"/>
  <c r="C538" i="2" s="1"/>
  <c r="AR328" i="2"/>
  <c r="AN328" i="2"/>
  <c r="AP75" i="2"/>
  <c r="AN26" i="2"/>
  <c r="AR26" i="2"/>
  <c r="AO166" i="2"/>
  <c r="AO175" i="2"/>
  <c r="C552" i="2" s="1"/>
  <c r="AN6" i="2"/>
  <c r="AR6" i="2"/>
  <c r="AP212" i="2"/>
  <c r="AO359" i="2"/>
  <c r="C736" i="2" s="1"/>
  <c r="AP192" i="2"/>
  <c r="AP261" i="2"/>
  <c r="AO9" i="2"/>
  <c r="AP65" i="2"/>
  <c r="AO110" i="2"/>
  <c r="C487" i="2" s="1"/>
  <c r="AP140" i="2"/>
  <c r="AO289" i="2"/>
  <c r="C666" i="2" s="1"/>
  <c r="AP361" i="2"/>
  <c r="AR267" i="2"/>
  <c r="AN267" i="2"/>
  <c r="AN247" i="2"/>
  <c r="AR247" i="2"/>
  <c r="AO183" i="2"/>
  <c r="C560" i="2" s="1"/>
  <c r="AR115" i="2"/>
  <c r="AN115" i="2"/>
  <c r="AN143" i="2"/>
  <c r="AR143" i="2"/>
  <c r="AP135" i="2"/>
  <c r="AR235" i="2"/>
  <c r="AN235" i="2"/>
  <c r="AO209" i="2"/>
  <c r="C586" i="2" s="1"/>
  <c r="AP69" i="2"/>
  <c r="AO291" i="2"/>
  <c r="C668" i="2" s="1"/>
  <c r="AP46" i="2"/>
  <c r="AR311" i="2"/>
  <c r="AN311" i="2"/>
  <c r="AN72" i="2"/>
  <c r="AR72" i="2"/>
  <c r="AO162" i="2"/>
  <c r="C539" i="2" s="1"/>
  <c r="AN58" i="2"/>
  <c r="AR58" i="2"/>
  <c r="AP322" i="2"/>
  <c r="AP296" i="2"/>
  <c r="AO219" i="2"/>
  <c r="C596" i="2" s="1"/>
  <c r="AN260" i="2"/>
  <c r="AR260" i="2"/>
  <c r="AR345" i="2"/>
  <c r="AN345" i="2"/>
  <c r="AO277" i="2"/>
  <c r="C654" i="2" s="1"/>
  <c r="AO145" i="2"/>
  <c r="C522" i="2" s="1"/>
  <c r="AR68" i="2"/>
  <c r="AN68" i="2"/>
  <c r="AR129" i="2"/>
  <c r="AN129" i="2"/>
  <c r="AP48" i="2"/>
  <c r="AN59" i="2"/>
  <c r="AR59" i="2"/>
  <c r="AO132" i="2"/>
  <c r="C509" i="2" s="1"/>
  <c r="AP275" i="2"/>
  <c r="AP38" i="2"/>
  <c r="AO47" i="2"/>
  <c r="C424" i="2" s="1"/>
  <c r="AP239" i="2"/>
  <c r="AO97" i="2"/>
  <c r="C474" i="2" s="1"/>
  <c r="AR200" i="2"/>
  <c r="AN200" i="2"/>
  <c r="AP165" i="2"/>
  <c r="AP277" i="2"/>
  <c r="AN195" i="2"/>
  <c r="AR195" i="2"/>
  <c r="AN210" i="2"/>
  <c r="AR210" i="2"/>
  <c r="AO177" i="2"/>
  <c r="C554" i="2" s="1"/>
  <c r="AR65" i="2"/>
  <c r="AN65" i="2"/>
  <c r="AO155" i="2"/>
  <c r="C532" i="2" s="1"/>
  <c r="AO220" i="2"/>
  <c r="C597" i="2" s="1"/>
  <c r="AN40" i="2"/>
  <c r="AR40" i="2"/>
  <c r="AN221" i="2"/>
  <c r="AR221" i="2"/>
  <c r="AO197" i="2"/>
  <c r="C574" i="2" s="1"/>
  <c r="AO269" i="2"/>
  <c r="C646" i="2" s="1"/>
  <c r="AN141" i="2"/>
  <c r="AR141" i="2"/>
  <c r="AR33" i="2"/>
  <c r="AN33" i="2"/>
  <c r="AO228" i="2"/>
  <c r="C605" i="2" s="1"/>
  <c r="AR169" i="2"/>
  <c r="AN169" i="2"/>
  <c r="AN308" i="2"/>
  <c r="AR308" i="2"/>
  <c r="AP292" i="2"/>
  <c r="AR281" i="2"/>
  <c r="AN281" i="2"/>
  <c r="AP297" i="2"/>
  <c r="AP238" i="2"/>
  <c r="AO337" i="2"/>
  <c r="C714" i="2" s="1"/>
  <c r="AO329" i="2"/>
  <c r="C706" i="2" s="1"/>
  <c r="AP33" i="2"/>
  <c r="AR351" i="2"/>
  <c r="AN351" i="2"/>
  <c r="AO297" i="2"/>
  <c r="C674" i="2" s="1"/>
  <c r="AP232" i="2"/>
  <c r="AO250" i="2"/>
  <c r="C627" i="2" s="1"/>
  <c r="AP323" i="2"/>
  <c r="AO342" i="2"/>
  <c r="C719" i="2" s="1"/>
  <c r="AO224" i="2"/>
  <c r="C601" i="2" s="1"/>
  <c r="AN319" i="2"/>
  <c r="AR319" i="2"/>
  <c r="AO107" i="2"/>
  <c r="C484" i="2" s="1"/>
  <c r="AP231" i="2"/>
  <c r="AR105" i="2"/>
  <c r="AN105" i="2"/>
  <c r="AN222" i="2"/>
  <c r="AR222" i="2"/>
  <c r="AR296" i="2"/>
  <c r="AN296" i="2"/>
  <c r="AP199" i="2"/>
  <c r="AR149" i="2"/>
  <c r="AN149" i="2"/>
  <c r="AR361" i="2"/>
  <c r="AN361" i="2"/>
  <c r="AO121" i="2"/>
  <c r="C498" i="2" s="1"/>
  <c r="AN259" i="2"/>
  <c r="AR259" i="2"/>
  <c r="AN219" i="2"/>
  <c r="AR219" i="2"/>
  <c r="AO265" i="2"/>
  <c r="C642" i="2" s="1"/>
  <c r="AP39" i="2"/>
  <c r="AO243" i="2"/>
  <c r="C620" i="2" s="1"/>
  <c r="AO151" i="2"/>
  <c r="C528" i="2" s="1"/>
  <c r="AP95" i="2"/>
  <c r="AO299" i="2"/>
  <c r="C676" i="2" s="1"/>
  <c r="AO322" i="2"/>
  <c r="C699" i="2" s="1"/>
  <c r="AO129" i="2"/>
  <c r="C506" i="2" s="1"/>
  <c r="AR198" i="2"/>
  <c r="AN198" i="2"/>
  <c r="AN142" i="2"/>
  <c r="AR142" i="2"/>
  <c r="AO333" i="2"/>
  <c r="C710" i="2" s="1"/>
  <c r="AP89" i="2"/>
  <c r="AO331" i="2"/>
  <c r="C708" i="2" s="1"/>
  <c r="AO164" i="2"/>
  <c r="C541" i="2" s="1"/>
  <c r="AO198" i="2"/>
  <c r="C575" i="2" s="1"/>
  <c r="AN320" i="2"/>
  <c r="AR320" i="2"/>
  <c r="AR348" i="2"/>
  <c r="AN348" i="2"/>
  <c r="AP35" i="2"/>
  <c r="AN236" i="2"/>
  <c r="AR236" i="2"/>
  <c r="AR75" i="2"/>
  <c r="AN75" i="2"/>
  <c r="AP115" i="2"/>
  <c r="AN12" i="2"/>
  <c r="AR12" i="2"/>
  <c r="AN287" i="2"/>
  <c r="AR287" i="2"/>
  <c r="AR76" i="2"/>
  <c r="AN76" i="2"/>
  <c r="AR254" i="2"/>
  <c r="AN254" i="2"/>
  <c r="AP119" i="2"/>
  <c r="AP194" i="2"/>
  <c r="AO34" i="2"/>
  <c r="C411" i="2" s="1"/>
  <c r="AO232" i="2"/>
  <c r="C609" i="2" s="1"/>
  <c r="AN113" i="2"/>
  <c r="AR113" i="2"/>
  <c r="AO362" i="2"/>
  <c r="C739" i="2" s="1"/>
  <c r="AP70" i="2"/>
  <c r="AP124" i="2"/>
  <c r="AP272" i="2"/>
  <c r="AO16" i="2"/>
  <c r="C393" i="2" s="1"/>
  <c r="AO182" i="2"/>
  <c r="C559" i="2" s="1"/>
  <c r="AO353" i="2"/>
  <c r="C730" i="2" s="1"/>
  <c r="AP112" i="2"/>
  <c r="AP60" i="2"/>
  <c r="AP6" i="2"/>
  <c r="AO12" i="2"/>
  <c r="C389" i="2" s="1"/>
  <c r="AP341" i="2"/>
  <c r="AP150" i="2"/>
  <c r="AO320" i="2"/>
  <c r="C697" i="2" s="1"/>
  <c r="AP52" i="2"/>
  <c r="AO339" i="2"/>
  <c r="C716" i="2" s="1"/>
  <c r="AP317" i="2"/>
  <c r="AO191" i="2"/>
  <c r="C568" i="2" s="1"/>
  <c r="AP169" i="2"/>
  <c r="AP87" i="2"/>
  <c r="AO78" i="2"/>
  <c r="C455" i="2" s="1"/>
  <c r="AO205" i="2"/>
  <c r="C582" i="2" s="1"/>
  <c r="AP240" i="2"/>
  <c r="AP222" i="2"/>
  <c r="AP307" i="2"/>
  <c r="AP266" i="2"/>
  <c r="AR220" i="2"/>
  <c r="AN220" i="2"/>
  <c r="AO300" i="2"/>
  <c r="C677" i="2" s="1"/>
  <c r="AR135" i="2"/>
  <c r="AN135" i="2"/>
  <c r="AP49" i="2"/>
  <c r="AO22" i="2"/>
  <c r="C399" i="2" s="1"/>
  <c r="AN55" i="2"/>
  <c r="AR55" i="2"/>
  <c r="AO330" i="2"/>
  <c r="C707" i="2" s="1"/>
  <c r="AR276" i="2"/>
  <c r="AN276" i="2"/>
  <c r="AN50" i="2"/>
  <c r="AR50" i="2"/>
  <c r="AP190" i="2"/>
  <c r="AO18" i="2"/>
  <c r="C395" i="2" s="1"/>
  <c r="AN56" i="2"/>
  <c r="AR56" i="2"/>
  <c r="AN306" i="2"/>
  <c r="AR306" i="2"/>
  <c r="AR81" i="2"/>
  <c r="AN81" i="2"/>
  <c r="AO284" i="2"/>
  <c r="C661" i="2" s="1"/>
  <c r="AR314" i="2"/>
  <c r="AN314" i="2"/>
  <c r="AN36" i="2"/>
  <c r="AR36" i="2"/>
  <c r="B636" i="2" l="1"/>
  <c r="AQ259" i="2"/>
  <c r="D636" i="2" s="1"/>
  <c r="AQ153" i="2"/>
  <c r="D530" i="2" s="1"/>
  <c r="B530" i="2"/>
  <c r="B471" i="2"/>
  <c r="AQ94" i="2"/>
  <c r="D471" i="2" s="1"/>
  <c r="B520" i="2"/>
  <c r="AQ143" i="2"/>
  <c r="D520" i="2" s="1"/>
  <c r="B584" i="2"/>
  <c r="AQ207" i="2"/>
  <c r="D584" i="2" s="1"/>
  <c r="B598" i="2"/>
  <c r="AQ221" i="2"/>
  <c r="D598" i="2" s="1"/>
  <c r="B383" i="2"/>
  <c r="AQ6" i="2"/>
  <c r="D383" i="2" s="1"/>
  <c r="B729" i="2"/>
  <c r="AQ352" i="2"/>
  <c r="D729" i="2" s="1"/>
  <c r="B503" i="2"/>
  <c r="AQ126" i="2"/>
  <c r="D503" i="2" s="1"/>
  <c r="B592" i="2"/>
  <c r="AQ215" i="2"/>
  <c r="D592" i="2" s="1"/>
  <c r="B663" i="2"/>
  <c r="AQ286" i="2"/>
  <c r="D663" i="2" s="1"/>
  <c r="AQ250" i="2"/>
  <c r="D627" i="2" s="1"/>
  <c r="B627" i="2"/>
  <c r="AQ188" i="2"/>
  <c r="D565" i="2" s="1"/>
  <c r="B565" i="2"/>
  <c r="B486" i="2"/>
  <c r="AQ109" i="2"/>
  <c r="D486" i="2" s="1"/>
  <c r="B680" i="2"/>
  <c r="AQ303" i="2"/>
  <c r="D680" i="2" s="1"/>
  <c r="B411" i="2"/>
  <c r="AQ34" i="2"/>
  <c r="D411" i="2" s="1"/>
  <c r="AQ339" i="2"/>
  <c r="D716" i="2" s="1"/>
  <c r="B716" i="2"/>
  <c r="B468" i="2"/>
  <c r="AQ91" i="2"/>
  <c r="D468" i="2" s="1"/>
  <c r="B446" i="2"/>
  <c r="AQ69" i="2"/>
  <c r="D446" i="2" s="1"/>
  <c r="AQ265" i="2"/>
  <c r="D642" i="2" s="1"/>
  <c r="B642" i="2"/>
  <c r="AQ190" i="2"/>
  <c r="D567" i="2" s="1"/>
  <c r="B567" i="2"/>
  <c r="B549" i="2"/>
  <c r="AQ172" i="2"/>
  <c r="D549" i="2" s="1"/>
  <c r="AQ133" i="2"/>
  <c r="D510" i="2" s="1"/>
  <c r="B510" i="2"/>
  <c r="AQ9" i="2"/>
  <c r="B386" i="2"/>
  <c r="AO371" i="2"/>
  <c r="AP373" i="2"/>
  <c r="C391" i="2"/>
  <c r="B710" i="2"/>
  <c r="AQ333" i="2"/>
  <c r="D710" i="2" s="1"/>
  <c r="B602" i="2"/>
  <c r="AQ225" i="2"/>
  <c r="D602" i="2" s="1"/>
  <c r="B614" i="2"/>
  <c r="AQ237" i="2"/>
  <c r="D614" i="2" s="1"/>
  <c r="AQ127" i="2"/>
  <c r="D504" i="2" s="1"/>
  <c r="B504" i="2"/>
  <c r="B461" i="2"/>
  <c r="AQ84" i="2"/>
  <c r="D461" i="2" s="1"/>
  <c r="AQ310" i="2"/>
  <c r="D687" i="2" s="1"/>
  <c r="B687" i="2"/>
  <c r="B695" i="2"/>
  <c r="AQ318" i="2"/>
  <c r="D695" i="2" s="1"/>
  <c r="AQ78" i="2"/>
  <c r="D455" i="2" s="1"/>
  <c r="B455" i="2"/>
  <c r="AQ103" i="2"/>
  <c r="D480" i="2" s="1"/>
  <c r="B480" i="2"/>
  <c r="AQ53" i="2"/>
  <c r="D430" i="2" s="1"/>
  <c r="B430" i="2"/>
  <c r="O480" i="2"/>
  <c r="AN399" i="2" a="1"/>
  <c r="AN399" i="2" s="1"/>
  <c r="AG401" i="2"/>
  <c r="AN404" i="2" a="1"/>
  <c r="AN404" i="2" s="1"/>
  <c r="AG404" i="2"/>
  <c r="O485" i="2"/>
  <c r="AG398" i="2"/>
  <c r="O486" i="2"/>
  <c r="O483" i="2"/>
  <c r="AN401" i="2" a="1"/>
  <c r="AN401" i="2" s="1"/>
  <c r="V485" i="2" a="1"/>
  <c r="V485" i="2" s="1"/>
  <c r="AG403" i="2"/>
  <c r="AN402" i="2" a="1"/>
  <c r="AN402" i="2" s="1"/>
  <c r="V482" i="2" a="1"/>
  <c r="V482" i="2" s="1"/>
  <c r="AO364" i="2"/>
  <c r="AO365" i="2" s="1"/>
  <c r="O490" i="2" a="1"/>
  <c r="O490" i="2" s="1"/>
  <c r="AG402" i="2"/>
  <c r="AG399" i="2"/>
  <c r="O482" i="2"/>
  <c r="AN403" i="2" a="1"/>
  <c r="AN403" i="2" s="1"/>
  <c r="AP369" i="2"/>
  <c r="AN398" i="2" a="1"/>
  <c r="AN398" i="2" s="1"/>
  <c r="AO366" i="2"/>
  <c r="AG407" i="2" s="1"/>
  <c r="V484" i="2" a="1"/>
  <c r="V484" i="2" s="1"/>
  <c r="V481" i="2" a="1"/>
  <c r="V481" i="2" s="1"/>
  <c r="AN400" i="2" a="1"/>
  <c r="AN400" i="2" s="1"/>
  <c r="V480" i="2" a="1"/>
  <c r="V480" i="2" s="1"/>
  <c r="C379" i="2"/>
  <c r="O481" i="2"/>
  <c r="O489" i="2"/>
  <c r="V483" i="2" a="1"/>
  <c r="V483" i="2" s="1"/>
  <c r="AG400" i="2"/>
  <c r="O484" i="2"/>
  <c r="AG408" i="2" a="1"/>
  <c r="AG408" i="2" s="1"/>
  <c r="V486" i="2" a="1"/>
  <c r="V486" i="2" s="1"/>
  <c r="G370" i="2"/>
  <c r="B595" i="2"/>
  <c r="AQ218" i="2"/>
  <c r="D595" i="2" s="1"/>
  <c r="H368" i="2"/>
  <c r="B543" i="2"/>
  <c r="AQ166" i="2"/>
  <c r="AQ165" i="2"/>
  <c r="D542" i="2" s="1"/>
  <c r="B542" i="2"/>
  <c r="AQ290" i="2"/>
  <c r="D667" i="2" s="1"/>
  <c r="B667" i="2"/>
  <c r="B656" i="2"/>
  <c r="AQ279" i="2"/>
  <c r="D656" i="2" s="1"/>
  <c r="B459" i="2"/>
  <c r="AQ82" i="2"/>
  <c r="D459" i="2" s="1"/>
  <c r="B641" i="2"/>
  <c r="AQ264" i="2"/>
  <c r="D641" i="2" s="1"/>
  <c r="B691" i="2"/>
  <c r="AQ314" i="2"/>
  <c r="D691" i="2" s="1"/>
  <c r="B398" i="2"/>
  <c r="AQ21" i="2"/>
  <c r="D398" i="2" s="1"/>
  <c r="AQ180" i="2"/>
  <c r="D557" i="2" s="1"/>
  <c r="B557" i="2"/>
  <c r="B432" i="2"/>
  <c r="AQ55" i="2"/>
  <c r="D432" i="2" s="1"/>
  <c r="AQ142" i="2"/>
  <c r="D519" i="2" s="1"/>
  <c r="B519" i="2"/>
  <c r="B442" i="2"/>
  <c r="AQ65" i="2"/>
  <c r="D442" i="2" s="1"/>
  <c r="AQ189" i="2"/>
  <c r="D566" i="2" s="1"/>
  <c r="B566" i="2"/>
  <c r="AQ347" i="2"/>
  <c r="D724" i="2" s="1"/>
  <c r="B724" i="2"/>
  <c r="AQ135" i="2"/>
  <c r="D512" i="2" s="1"/>
  <c r="B512" i="2"/>
  <c r="B490" i="2"/>
  <c r="AQ113" i="2"/>
  <c r="D490" i="2" s="1"/>
  <c r="B653" i="2"/>
  <c r="AQ276" i="2"/>
  <c r="D653" i="2" s="1"/>
  <c r="B613" i="2"/>
  <c r="AQ236" i="2"/>
  <c r="D613" i="2" s="1"/>
  <c r="B596" i="2"/>
  <c r="AQ219" i="2"/>
  <c r="D596" i="2" s="1"/>
  <c r="B658" i="2"/>
  <c r="AQ281" i="2"/>
  <c r="D658" i="2" s="1"/>
  <c r="B410" i="2"/>
  <c r="AQ33" i="2"/>
  <c r="D410" i="2" s="1"/>
  <c r="B587" i="2"/>
  <c r="AQ210" i="2"/>
  <c r="D587" i="2" s="1"/>
  <c r="B506" i="2"/>
  <c r="AQ129" i="2"/>
  <c r="D506" i="2" s="1"/>
  <c r="B612" i="2"/>
  <c r="AQ235" i="2"/>
  <c r="D612" i="2" s="1"/>
  <c r="AQ316" i="2"/>
  <c r="D693" i="2" s="1"/>
  <c r="B693" i="2"/>
  <c r="B555" i="2"/>
  <c r="AQ178" i="2"/>
  <c r="D555" i="2" s="1"/>
  <c r="C444" i="2"/>
  <c r="AP374" i="2"/>
  <c r="B434" i="2"/>
  <c r="AQ57" i="2"/>
  <c r="D434" i="2" s="1"/>
  <c r="B714" i="2"/>
  <c r="AQ337" i="2"/>
  <c r="D714" i="2" s="1"/>
  <c r="AQ158" i="2"/>
  <c r="D535" i="2" s="1"/>
  <c r="B535" i="2"/>
  <c r="AQ63" i="2"/>
  <c r="D440" i="2" s="1"/>
  <c r="B440" i="2"/>
  <c r="B617" i="2"/>
  <c r="AQ240" i="2"/>
  <c r="D617" i="2" s="1"/>
  <c r="AQ70" i="2"/>
  <c r="D447" i="2" s="1"/>
  <c r="B447" i="2"/>
  <c r="B730" i="2"/>
  <c r="AQ353" i="2"/>
  <c r="D730" i="2" s="1"/>
  <c r="B662" i="2"/>
  <c r="AQ285" i="2"/>
  <c r="D662" i="2" s="1"/>
  <c r="AQ144" i="2"/>
  <c r="D521" i="2" s="1"/>
  <c r="B521" i="2"/>
  <c r="B615" i="2"/>
  <c r="AQ238" i="2"/>
  <c r="D615" i="2" s="1"/>
  <c r="B698" i="2"/>
  <c r="AQ321" i="2"/>
  <c r="D698" i="2" s="1"/>
  <c r="AQ27" i="2"/>
  <c r="D404" i="2" s="1"/>
  <c r="B404" i="2"/>
  <c r="L404" i="2"/>
  <c r="B465" i="2"/>
  <c r="AQ88" i="2"/>
  <c r="D465" i="2" s="1"/>
  <c r="AQ32" i="2"/>
  <c r="D409" i="2" s="1"/>
  <c r="B409" i="2"/>
  <c r="AQ350" i="2"/>
  <c r="D727" i="2" s="1"/>
  <c r="B727" i="2"/>
  <c r="B681" i="2"/>
  <c r="AQ304" i="2"/>
  <c r="D681" i="2" s="1"/>
  <c r="B712" i="2"/>
  <c r="AQ335" i="2"/>
  <c r="D712" i="2" s="1"/>
  <c r="AQ192" i="2"/>
  <c r="D569" i="2" s="1"/>
  <c r="B569" i="2"/>
  <c r="B701" i="2"/>
  <c r="AQ324" i="2"/>
  <c r="D701" i="2" s="1"/>
  <c r="B536" i="2"/>
  <c r="AQ159" i="2"/>
  <c r="D536" i="2" s="1"/>
  <c r="L405" i="2"/>
  <c r="AQ228" i="2"/>
  <c r="D605" i="2" s="1"/>
  <c r="B605" i="2"/>
  <c r="B726" i="2"/>
  <c r="AQ349" i="2"/>
  <c r="D726" i="2" s="1"/>
  <c r="B571" i="2"/>
  <c r="AQ194" i="2"/>
  <c r="D571" i="2" s="1"/>
  <c r="B524" i="2"/>
  <c r="AQ147" i="2"/>
  <c r="D524" i="2" s="1"/>
  <c r="B527" i="2"/>
  <c r="AQ150" i="2"/>
  <c r="D527" i="2" s="1"/>
  <c r="AQ334" i="2"/>
  <c r="D711" i="2" s="1"/>
  <c r="B711" i="2"/>
  <c r="B533" i="2"/>
  <c r="AQ156" i="2"/>
  <c r="D533" i="2" s="1"/>
  <c r="AQ47" i="2"/>
  <c r="D424" i="2" s="1"/>
  <c r="B424" i="2"/>
  <c r="B682" i="2"/>
  <c r="AQ305" i="2"/>
  <c r="D682" i="2" s="1"/>
  <c r="AQ100" i="2"/>
  <c r="D477" i="2" s="1"/>
  <c r="B477" i="2"/>
  <c r="B467" i="2"/>
  <c r="AQ90" i="2"/>
  <c r="D467" i="2" s="1"/>
  <c r="B539" i="2"/>
  <c r="AQ162" i="2"/>
  <c r="D539" i="2" s="1"/>
  <c r="AQ186" i="2"/>
  <c r="D563" i="2" s="1"/>
  <c r="B563" i="2"/>
  <c r="AQ117" i="2"/>
  <c r="D494" i="2" s="1"/>
  <c r="B494" i="2"/>
  <c r="B696" i="2"/>
  <c r="AQ319" i="2"/>
  <c r="D696" i="2" s="1"/>
  <c r="B572" i="2"/>
  <c r="AQ195" i="2"/>
  <c r="D572" i="2" s="1"/>
  <c r="B644" i="2"/>
  <c r="AQ267" i="2"/>
  <c r="D644" i="2" s="1"/>
  <c r="B516" i="2"/>
  <c r="AQ139" i="2"/>
  <c r="D516" i="2" s="1"/>
  <c r="AQ56" i="2"/>
  <c r="D433" i="2" s="1"/>
  <c r="B433" i="2"/>
  <c r="B389" i="2"/>
  <c r="AQ12" i="2"/>
  <c r="D389" i="2" s="1"/>
  <c r="B427" i="2"/>
  <c r="AQ50" i="2"/>
  <c r="D427" i="2" s="1"/>
  <c r="B683" i="2"/>
  <c r="AQ306" i="2"/>
  <c r="D683" i="2" s="1"/>
  <c r="B664" i="2"/>
  <c r="AQ287" i="2"/>
  <c r="D664" i="2" s="1"/>
  <c r="AQ296" i="2"/>
  <c r="D673" i="2" s="1"/>
  <c r="B673" i="2"/>
  <c r="B728" i="2"/>
  <c r="AQ351" i="2"/>
  <c r="D728" i="2" s="1"/>
  <c r="B417" i="2"/>
  <c r="AQ40" i="2"/>
  <c r="D417" i="2" s="1"/>
  <c r="B637" i="2"/>
  <c r="AQ260" i="2"/>
  <c r="D637" i="2" s="1"/>
  <c r="B449" i="2"/>
  <c r="AQ72" i="2"/>
  <c r="D449" i="2" s="1"/>
  <c r="B624" i="2"/>
  <c r="AQ247" i="2"/>
  <c r="D624" i="2" s="1"/>
  <c r="C386" i="2"/>
  <c r="AP371" i="2"/>
  <c r="C543" i="2"/>
  <c r="G368" i="2"/>
  <c r="AQ48" i="2"/>
  <c r="D425" i="2" s="1"/>
  <c r="B425" i="2"/>
  <c r="B579" i="2"/>
  <c r="AQ202" i="2"/>
  <c r="D579" i="2" s="1"/>
  <c r="B387" i="2"/>
  <c r="AQ10" i="2"/>
  <c r="D387" i="2" s="1"/>
  <c r="B634" i="2"/>
  <c r="AQ257" i="2"/>
  <c r="D634" i="2" s="1"/>
  <c r="AQ52" i="2"/>
  <c r="D429" i="2" s="1"/>
  <c r="B429" i="2"/>
  <c r="B560" i="2"/>
  <c r="AQ183" i="2"/>
  <c r="D560" i="2" s="1"/>
  <c r="B493" i="2"/>
  <c r="AQ116" i="2"/>
  <c r="D493" i="2" s="1"/>
  <c r="B406" i="2"/>
  <c r="AQ29" i="2"/>
  <c r="D406" i="2" s="1"/>
  <c r="AQ297" i="2"/>
  <c r="D674" i="2" s="1"/>
  <c r="B674" i="2"/>
  <c r="B702" i="2"/>
  <c r="AQ325" i="2"/>
  <c r="D702" i="2" s="1"/>
  <c r="B570" i="2"/>
  <c r="AQ193" i="2"/>
  <c r="D570" i="2" s="1"/>
  <c r="B661" i="2"/>
  <c r="AQ284" i="2"/>
  <c r="D661" i="2" s="1"/>
  <c r="AQ283" i="2"/>
  <c r="D660" i="2" s="1"/>
  <c r="B660" i="2"/>
  <c r="B405" i="2"/>
  <c r="AQ28" i="2"/>
  <c r="D405" i="2" s="1"/>
  <c r="AQ137" i="2"/>
  <c r="D514" i="2" s="1"/>
  <c r="B514" i="2"/>
  <c r="C385" i="2"/>
  <c r="AP368" i="2"/>
  <c r="B495" i="2"/>
  <c r="AQ118" i="2"/>
  <c r="D495" i="2" s="1"/>
  <c r="AQ211" i="2"/>
  <c r="D588" i="2" s="1"/>
  <c r="B588" i="2"/>
  <c r="AQ19" i="2"/>
  <c r="D396" i="2" s="1"/>
  <c r="B396" i="2"/>
  <c r="B487" i="2"/>
  <c r="AQ110" i="2"/>
  <c r="D487" i="2" s="1"/>
  <c r="AO372" i="2"/>
  <c r="B382" i="2"/>
  <c r="AQ5" i="2"/>
  <c r="B451" i="2"/>
  <c r="AQ74" i="2"/>
  <c r="D451" i="2" s="1"/>
  <c r="AQ11" i="2"/>
  <c r="D388" i="2" s="1"/>
  <c r="B388" i="2"/>
  <c r="B594" i="2"/>
  <c r="AQ217" i="2"/>
  <c r="D594" i="2" s="1"/>
  <c r="AQ104" i="2"/>
  <c r="D481" i="2" s="1"/>
  <c r="B481" i="2"/>
  <c r="AQ30" i="2"/>
  <c r="D407" i="2" s="1"/>
  <c r="B407" i="2"/>
  <c r="AO368" i="2"/>
  <c r="B385" i="2"/>
  <c r="AQ8" i="2"/>
  <c r="B671" i="2"/>
  <c r="AQ294" i="2"/>
  <c r="D671" i="2" s="1"/>
  <c r="AQ249" i="2"/>
  <c r="D626" i="2" s="1"/>
  <c r="B626" i="2"/>
  <c r="AQ136" i="2"/>
  <c r="D513" i="2" s="1"/>
  <c r="B513" i="2"/>
  <c r="AQ274" i="2"/>
  <c r="D651" i="2" s="1"/>
  <c r="B651" i="2"/>
  <c r="B390" i="2"/>
  <c r="AQ13" i="2"/>
  <c r="D390" i="2" s="1"/>
  <c r="AQ185" i="2"/>
  <c r="D562" i="2" s="1"/>
  <c r="B562" i="2"/>
  <c r="B497" i="2"/>
  <c r="AQ120" i="2"/>
  <c r="D497" i="2" s="1"/>
  <c r="B621" i="2"/>
  <c r="AQ244" i="2"/>
  <c r="D621" i="2" s="1"/>
  <c r="AQ293" i="2"/>
  <c r="D670" i="2" s="1"/>
  <c r="B670" i="2"/>
  <c r="AP370" i="2"/>
  <c r="C380" i="2"/>
  <c r="B466" i="2"/>
  <c r="AQ89" i="2"/>
  <c r="D466" i="2" s="1"/>
  <c r="B706" i="2"/>
  <c r="AQ329" i="2"/>
  <c r="D706" i="2" s="1"/>
  <c r="B630" i="2"/>
  <c r="AQ253" i="2"/>
  <c r="D630" i="2" s="1"/>
  <c r="B464" i="2"/>
  <c r="AQ87" i="2"/>
  <c r="D464" i="2" s="1"/>
  <c r="AQ4" i="2"/>
  <c r="D381" i="2" s="1"/>
  <c r="B381" i="2"/>
  <c r="AQ268" i="2"/>
  <c r="D645" i="2" s="1"/>
  <c r="B645" i="2"/>
  <c r="B559" i="2"/>
  <c r="AQ182" i="2"/>
  <c r="D559" i="2" s="1"/>
  <c r="B581" i="2"/>
  <c r="AQ204" i="2"/>
  <c r="D581" i="2" s="1"/>
  <c r="B393" i="2"/>
  <c r="AQ16" i="2"/>
  <c r="D393" i="2" s="1"/>
  <c r="AQ61" i="2"/>
  <c r="D438" i="2" s="1"/>
  <c r="B438" i="2"/>
  <c r="AQ317" i="2"/>
  <c r="D694" i="2" s="1"/>
  <c r="B694" i="2"/>
  <c r="AQ112" i="2"/>
  <c r="D489" i="2" s="1"/>
  <c r="B489" i="2"/>
  <c r="AQ312" i="2"/>
  <c r="D689" i="2" s="1"/>
  <c r="B689" i="2"/>
  <c r="AQ179" i="2"/>
  <c r="D556" i="2" s="1"/>
  <c r="B556" i="2"/>
  <c r="AQ20" i="2"/>
  <c r="D397" i="2" s="1"/>
  <c r="B397" i="2"/>
  <c r="B450" i="2"/>
  <c r="AQ73" i="2"/>
  <c r="D450" i="2" s="1"/>
  <c r="B678" i="2"/>
  <c r="AQ301" i="2"/>
  <c r="D678" i="2" s="1"/>
  <c r="AQ212" i="2"/>
  <c r="D589" i="2" s="1"/>
  <c r="B589" i="2"/>
  <c r="B463" i="2"/>
  <c r="AQ86" i="2"/>
  <c r="D463" i="2" s="1"/>
  <c r="B601" i="2"/>
  <c r="AQ224" i="2"/>
  <c r="D601" i="2" s="1"/>
  <c r="B578" i="2"/>
  <c r="AQ201" i="2"/>
  <c r="D578" i="2" s="1"/>
  <c r="B608" i="2"/>
  <c r="AQ231" i="2"/>
  <c r="D608" i="2" s="1"/>
  <c r="B479" i="2"/>
  <c r="AQ102" i="2"/>
  <c r="D479" i="2" s="1"/>
  <c r="B500" i="2"/>
  <c r="AQ123" i="2"/>
  <c r="D500" i="2" s="1"/>
  <c r="AQ122" i="2"/>
  <c r="D499" i="2" s="1"/>
  <c r="B499" i="2"/>
  <c r="AQ187" i="2"/>
  <c r="D564" i="2" s="1"/>
  <c r="B564" i="2"/>
  <c r="AQ121" i="2"/>
  <c r="D498" i="2" s="1"/>
  <c r="B498" i="2"/>
  <c r="B462" i="2"/>
  <c r="AQ85" i="2"/>
  <c r="D462" i="2" s="1"/>
  <c r="B384" i="2"/>
  <c r="AQ7" i="2"/>
  <c r="D384" i="2" s="1"/>
  <c r="B668" i="2"/>
  <c r="AQ291" i="2"/>
  <c r="D668" i="2" s="1"/>
  <c r="B439" i="2"/>
  <c r="AQ62" i="2"/>
  <c r="D439" i="2" s="1"/>
  <c r="L401" i="2"/>
  <c r="B677" i="2"/>
  <c r="AQ300" i="2"/>
  <c r="D677" i="2" s="1"/>
  <c r="B509" i="2"/>
  <c r="AQ132" i="2"/>
  <c r="D509" i="2" s="1"/>
  <c r="B541" i="2"/>
  <c r="AQ164" i="2"/>
  <c r="D541" i="2" s="1"/>
  <c r="AQ239" i="2"/>
  <c r="D616" i="2" s="1"/>
  <c r="B616" i="2"/>
  <c r="B537" i="2"/>
  <c r="AQ160" i="2"/>
  <c r="D537" i="2" s="1"/>
  <c r="B391" i="2"/>
  <c r="AO373" i="2"/>
  <c r="AQ14" i="2"/>
  <c r="B554" i="2"/>
  <c r="AQ177" i="2"/>
  <c r="D554" i="2" s="1"/>
  <c r="B522" i="2"/>
  <c r="AQ145" i="2"/>
  <c r="D522" i="2" s="1"/>
  <c r="C382" i="2"/>
  <c r="AP372" i="2"/>
  <c r="AQ234" i="2"/>
  <c r="D611" i="2" s="1"/>
  <c r="B611" i="2"/>
  <c r="B441" i="2"/>
  <c r="AQ64" i="2"/>
  <c r="D441" i="2" s="1"/>
  <c r="AQ278" i="2"/>
  <c r="D655" i="2" s="1"/>
  <c r="B655" i="2"/>
  <c r="AQ66" i="2"/>
  <c r="D443" i="2" s="1"/>
  <c r="B443" i="2"/>
  <c r="AQ213" i="2"/>
  <c r="D590" i="2" s="1"/>
  <c r="B590" i="2"/>
  <c r="B576" i="2"/>
  <c r="AQ199" i="2"/>
  <c r="D576" i="2" s="1"/>
  <c r="B607" i="2"/>
  <c r="AQ230" i="2"/>
  <c r="D607" i="2" s="1"/>
  <c r="AQ106" i="2"/>
  <c r="D483" i="2" s="1"/>
  <c r="B483" i="2"/>
  <c r="P490" i="2" a="1"/>
  <c r="P490" i="2" s="1"/>
  <c r="P489" i="2"/>
  <c r="AP364" i="2"/>
  <c r="AP365" i="2" s="1"/>
  <c r="AP366" i="2"/>
  <c r="AH407" i="2" s="1"/>
  <c r="AH403" i="2"/>
  <c r="AH408" i="2" a="1"/>
  <c r="AH408" i="2" s="1"/>
  <c r="AH401" i="2"/>
  <c r="AH402" i="2"/>
  <c r="AH399" i="2"/>
  <c r="AH400" i="2"/>
  <c r="AH404" i="2"/>
  <c r="L402" i="2"/>
  <c r="L397" i="2"/>
  <c r="B609" i="2"/>
  <c r="AQ232" i="2"/>
  <c r="D609" i="2" s="1"/>
  <c r="AQ176" i="2"/>
  <c r="D553" i="2" s="1"/>
  <c r="B553" i="2"/>
  <c r="B604" i="2"/>
  <c r="AQ227" i="2"/>
  <c r="D604" i="2" s="1"/>
  <c r="B517" i="2"/>
  <c r="AQ140" i="2"/>
  <c r="D517" i="2" s="1"/>
  <c r="B454" i="2"/>
  <c r="AQ77" i="2"/>
  <c r="D454" i="2" s="1"/>
  <c r="AQ223" i="2"/>
  <c r="D600" i="2" s="1"/>
  <c r="B600" i="2"/>
  <c r="AQ356" i="2"/>
  <c r="D733" i="2" s="1"/>
  <c r="B733" i="2"/>
  <c r="B414" i="2"/>
  <c r="AQ37" i="2"/>
  <c r="D414" i="2" s="1"/>
  <c r="B422" i="2"/>
  <c r="AQ45" i="2"/>
  <c r="D422" i="2" s="1"/>
  <c r="B395" i="2"/>
  <c r="AQ18" i="2"/>
  <c r="D395" i="2" s="1"/>
  <c r="AQ171" i="2"/>
  <c r="D548" i="2" s="1"/>
  <c r="B548" i="2"/>
  <c r="AQ341" i="2"/>
  <c r="D718" i="2" s="1"/>
  <c r="B718" i="2"/>
  <c r="AQ346" i="2"/>
  <c r="D723" i="2" s="1"/>
  <c r="B723" i="2"/>
  <c r="C470" i="2"/>
  <c r="G369" i="2"/>
  <c r="B505" i="2"/>
  <c r="AQ128" i="2"/>
  <c r="D505" i="2" s="1"/>
  <c r="B672" i="2"/>
  <c r="AQ295" i="2"/>
  <c r="D672" i="2" s="1"/>
  <c r="AQ54" i="2"/>
  <c r="D431" i="2" s="1"/>
  <c r="B431" i="2"/>
  <c r="B648" i="2"/>
  <c r="AQ271" i="2"/>
  <c r="D648" i="2" s="1"/>
  <c r="L406" i="2"/>
  <c r="AQ289" i="2"/>
  <c r="D666" i="2" s="1"/>
  <c r="B666" i="2"/>
  <c r="B478" i="2"/>
  <c r="AQ101" i="2"/>
  <c r="D478" i="2" s="1"/>
  <c r="B708" i="2"/>
  <c r="AQ331" i="2"/>
  <c r="D708" i="2" s="1"/>
  <c r="AQ175" i="2"/>
  <c r="D552" i="2" s="1"/>
  <c r="B552" i="2"/>
  <c r="B534" i="2"/>
  <c r="AQ157" i="2"/>
  <c r="D534" i="2" s="1"/>
  <c r="AQ79" i="2"/>
  <c r="D456" i="2" s="1"/>
  <c r="B456" i="2"/>
  <c r="B421" i="2"/>
  <c r="AQ44" i="2"/>
  <c r="D421" i="2" s="1"/>
  <c r="AQ167" i="2"/>
  <c r="D544" i="2" s="1"/>
  <c r="B544" i="2"/>
  <c r="B597" i="2"/>
  <c r="AQ220" i="2"/>
  <c r="D597" i="2" s="1"/>
  <c r="B688" i="2"/>
  <c r="AQ311" i="2"/>
  <c r="D688" i="2" s="1"/>
  <c r="AQ141" i="2"/>
  <c r="D518" i="2" s="1"/>
  <c r="B518" i="2"/>
  <c r="B631" i="2"/>
  <c r="AQ254" i="2"/>
  <c r="D631" i="2" s="1"/>
  <c r="B738" i="2"/>
  <c r="AQ361" i="2"/>
  <c r="D738" i="2" s="1"/>
  <c r="B685" i="2"/>
  <c r="AQ308" i="2"/>
  <c r="D685" i="2" s="1"/>
  <c r="B551" i="2"/>
  <c r="AQ174" i="2"/>
  <c r="D551" i="2" s="1"/>
  <c r="AQ209" i="2"/>
  <c r="D586" i="2" s="1"/>
  <c r="B586" i="2"/>
  <c r="AQ111" i="2"/>
  <c r="D488" i="2" s="1"/>
  <c r="B488" i="2"/>
  <c r="B419" i="2"/>
  <c r="AQ42" i="2"/>
  <c r="D419" i="2" s="1"/>
  <c r="B654" i="2"/>
  <c r="AQ277" i="2"/>
  <c r="D654" i="2" s="1"/>
  <c r="B585" i="2"/>
  <c r="AQ208" i="2"/>
  <c r="D585" i="2" s="1"/>
  <c r="B428" i="2"/>
  <c r="AQ51" i="2"/>
  <c r="D428" i="2" s="1"/>
  <c r="AO369" i="2"/>
  <c r="N489" i="2"/>
  <c r="AM398" i="2" a="1"/>
  <c r="AM398" i="2" s="1"/>
  <c r="AM403" i="2" a="1"/>
  <c r="AM403" i="2" s="1"/>
  <c r="B379" i="2"/>
  <c r="AF398" i="2"/>
  <c r="AF408" i="2" a="1"/>
  <c r="AF408" i="2" s="1"/>
  <c r="AF402" i="2"/>
  <c r="U480" i="2" a="1"/>
  <c r="U480" i="2" s="1"/>
  <c r="U484" i="2" a="1"/>
  <c r="U484" i="2" s="1"/>
  <c r="N484" i="2"/>
  <c r="N482" i="2"/>
  <c r="U486" i="2" a="1"/>
  <c r="U486" i="2" s="1"/>
  <c r="AF399" i="2"/>
  <c r="U482" i="2" a="1"/>
  <c r="U482" i="2" s="1"/>
  <c r="H370" i="2"/>
  <c r="AN364" i="2"/>
  <c r="AN365" i="2" s="1"/>
  <c r="AF403" i="2"/>
  <c r="AI403" i="2" s="1"/>
  <c r="N481" i="2"/>
  <c r="N486" i="2"/>
  <c r="U483" i="2" a="1"/>
  <c r="U483" i="2" s="1"/>
  <c r="AM401" i="2" a="1"/>
  <c r="AM401" i="2" s="1"/>
  <c r="N485" i="2"/>
  <c r="AM400" i="2" a="1"/>
  <c r="AM400" i="2" s="1"/>
  <c r="AQ2" i="2"/>
  <c r="U481" i="2" a="1"/>
  <c r="U481" i="2" s="1"/>
  <c r="AF404" i="2"/>
  <c r="AI404" i="2" s="1"/>
  <c r="AF401" i="2"/>
  <c r="AI401" i="2" s="1"/>
  <c r="AM399" i="2" a="1"/>
  <c r="AM399" i="2" s="1"/>
  <c r="AN366" i="2"/>
  <c r="AF407" i="2" s="1"/>
  <c r="N490" i="2" a="1"/>
  <c r="N490" i="2" s="1"/>
  <c r="N480" i="2"/>
  <c r="AM402" i="2" a="1"/>
  <c r="AM402" i="2" s="1"/>
  <c r="AM404" i="2" a="1"/>
  <c r="AM404" i="2" s="1"/>
  <c r="AF400" i="2"/>
  <c r="AI400" i="2" s="1"/>
  <c r="N483" i="2"/>
  <c r="U485" i="2" a="1"/>
  <c r="U485" i="2" s="1"/>
  <c r="B472" i="2"/>
  <c r="AQ95" i="2"/>
  <c r="D472" i="2" s="1"/>
  <c r="AQ358" i="2"/>
  <c r="D735" i="2" s="1"/>
  <c r="B735" i="2"/>
  <c r="B659" i="2"/>
  <c r="AQ282" i="2"/>
  <c r="D659" i="2" s="1"/>
  <c r="B529" i="2"/>
  <c r="AQ152" i="2"/>
  <c r="D529" i="2" s="1"/>
  <c r="B732" i="2"/>
  <c r="AQ355" i="2"/>
  <c r="D732" i="2" s="1"/>
  <c r="AQ354" i="2"/>
  <c r="D731" i="2" s="1"/>
  <c r="B731" i="2"/>
  <c r="B491" i="2"/>
  <c r="AQ114" i="2"/>
  <c r="D491" i="2" s="1"/>
  <c r="AQ71" i="2"/>
  <c r="D448" i="2" s="1"/>
  <c r="B448" i="2"/>
  <c r="AQ107" i="2"/>
  <c r="D484" i="2" s="1"/>
  <c r="B484" i="2"/>
  <c r="B508" i="2"/>
  <c r="AQ131" i="2"/>
  <c r="D508" i="2" s="1"/>
  <c r="AQ99" i="2"/>
  <c r="D476" i="2" s="1"/>
  <c r="B476" i="2"/>
  <c r="AQ302" i="2"/>
  <c r="D679" i="2" s="1"/>
  <c r="B679" i="2"/>
  <c r="AQ360" i="2"/>
  <c r="D737" i="2" s="1"/>
  <c r="B737" i="2"/>
  <c r="B675" i="2"/>
  <c r="AQ298" i="2"/>
  <c r="D675" i="2" s="1"/>
  <c r="AO374" i="2"/>
  <c r="B444" i="2"/>
  <c r="AQ67" i="2"/>
  <c r="B561" i="2"/>
  <c r="AQ184" i="2"/>
  <c r="D561" i="2" s="1"/>
  <c r="AQ275" i="2"/>
  <c r="D652" i="2" s="1"/>
  <c r="B652" i="2"/>
  <c r="AQ163" i="2"/>
  <c r="D540" i="2" s="1"/>
  <c r="B540" i="2"/>
  <c r="AQ151" i="2"/>
  <c r="D528" i="2" s="1"/>
  <c r="B528" i="2"/>
  <c r="B511" i="2"/>
  <c r="AQ134" i="2"/>
  <c r="D511" i="2" s="1"/>
  <c r="AQ255" i="2"/>
  <c r="D632" i="2" s="1"/>
  <c r="B632" i="2"/>
  <c r="B523" i="2"/>
  <c r="AQ146" i="2"/>
  <c r="D523" i="2" s="1"/>
  <c r="AQ75" i="2"/>
  <c r="D452" i="2" s="1"/>
  <c r="B452" i="2"/>
  <c r="B697" i="2"/>
  <c r="AQ320" i="2"/>
  <c r="D697" i="2" s="1"/>
  <c r="AQ198" i="2"/>
  <c r="D575" i="2" s="1"/>
  <c r="B575" i="2"/>
  <c r="AQ105" i="2"/>
  <c r="D482" i="2" s="1"/>
  <c r="B482" i="2"/>
  <c r="B546" i="2"/>
  <c r="AQ169" i="2"/>
  <c r="D546" i="2" s="1"/>
  <c r="B577" i="2"/>
  <c r="AQ200" i="2"/>
  <c r="D577" i="2" s="1"/>
  <c r="B492" i="2"/>
  <c r="AQ115" i="2"/>
  <c r="D492" i="2" s="1"/>
  <c r="B705" i="2"/>
  <c r="AQ328" i="2"/>
  <c r="D705" i="2" s="1"/>
  <c r="B547" i="2"/>
  <c r="AQ170" i="2"/>
  <c r="D547" i="2" s="1"/>
  <c r="B647" i="2"/>
  <c r="AQ270" i="2"/>
  <c r="D647" i="2" s="1"/>
  <c r="B580" i="2"/>
  <c r="AQ203" i="2"/>
  <c r="D580" i="2" s="1"/>
  <c r="B525" i="2"/>
  <c r="AQ148" i="2"/>
  <c r="D525" i="2" s="1"/>
  <c r="B532" i="2"/>
  <c r="AQ155" i="2"/>
  <c r="D532" i="2" s="1"/>
  <c r="B574" i="2"/>
  <c r="AQ197" i="2"/>
  <c r="D574" i="2" s="1"/>
  <c r="B583" i="2"/>
  <c r="AQ206" i="2"/>
  <c r="D583" i="2" s="1"/>
  <c r="AQ216" i="2"/>
  <c r="D593" i="2" s="1"/>
  <c r="B593" i="2"/>
  <c r="B638" i="2"/>
  <c r="AQ261" i="2"/>
  <c r="D638" i="2" s="1"/>
  <c r="B665" i="2"/>
  <c r="AQ288" i="2"/>
  <c r="D665" i="2" s="1"/>
  <c r="B531" i="2"/>
  <c r="AQ154" i="2"/>
  <c r="D531" i="2" s="1"/>
  <c r="AQ22" i="2"/>
  <c r="D399" i="2" s="1"/>
  <c r="B399" i="2"/>
  <c r="AQ205" i="2"/>
  <c r="D582" i="2" s="1"/>
  <c r="B582" i="2"/>
  <c r="B550" i="2"/>
  <c r="AQ173" i="2"/>
  <c r="D550" i="2" s="1"/>
  <c r="B408" i="2"/>
  <c r="AQ31" i="2"/>
  <c r="D408" i="2" s="1"/>
  <c r="B496" i="2"/>
  <c r="AQ119" i="2"/>
  <c r="D496" i="2" s="1"/>
  <c r="AQ24" i="2"/>
  <c r="D401" i="2" s="1"/>
  <c r="B401" i="2"/>
  <c r="B650" i="2"/>
  <c r="AQ273" i="2"/>
  <c r="D650" i="2" s="1"/>
  <c r="AQ252" i="2"/>
  <c r="D629" i="2" s="1"/>
  <c r="B629" i="2"/>
  <c r="B619" i="2"/>
  <c r="AQ242" i="2"/>
  <c r="D619" i="2" s="1"/>
  <c r="AQ256" i="2"/>
  <c r="D633" i="2" s="1"/>
  <c r="B633" i="2"/>
  <c r="B657" i="2"/>
  <c r="AQ280" i="2"/>
  <c r="D657" i="2" s="1"/>
  <c r="AQ343" i="2"/>
  <c r="D720" i="2" s="1"/>
  <c r="B720" i="2"/>
  <c r="AQ49" i="2"/>
  <c r="D426" i="2" s="1"/>
  <c r="B426" i="2"/>
  <c r="B640" i="2"/>
  <c r="AQ263" i="2"/>
  <c r="D640" i="2" s="1"/>
  <c r="B690" i="2"/>
  <c r="AQ313" i="2"/>
  <c r="D690" i="2" s="1"/>
  <c r="AQ309" i="2"/>
  <c r="D686" i="2" s="1"/>
  <c r="B686" i="2"/>
  <c r="B394" i="2"/>
  <c r="AQ17" i="2"/>
  <c r="D394" i="2" s="1"/>
  <c r="B736" i="2"/>
  <c r="AQ359" i="2"/>
  <c r="D736" i="2" s="1"/>
  <c r="B460" i="2"/>
  <c r="AQ83" i="2"/>
  <c r="D460" i="2" s="1"/>
  <c r="AQ80" i="2"/>
  <c r="D457" i="2" s="1"/>
  <c r="B457" i="2"/>
  <c r="B740" i="2"/>
  <c r="AQ363" i="2"/>
  <c r="D740" i="2" s="1"/>
  <c r="B400" i="2"/>
  <c r="AQ23" i="2"/>
  <c r="D400" i="2" s="1"/>
  <c r="B538" i="2"/>
  <c r="AQ161" i="2"/>
  <c r="D538" i="2" s="1"/>
  <c r="AQ307" i="2"/>
  <c r="D684" i="2" s="1"/>
  <c r="B684" i="2"/>
  <c r="B501" i="2"/>
  <c r="AQ124" i="2"/>
  <c r="D501" i="2" s="1"/>
  <c r="AQ338" i="2"/>
  <c r="D715" i="2" s="1"/>
  <c r="B715" i="2"/>
  <c r="B699" i="2"/>
  <c r="AQ322" i="2"/>
  <c r="D699" i="2" s="1"/>
  <c r="L407" i="2"/>
  <c r="B470" i="2"/>
  <c r="AQ93" i="2"/>
  <c r="H369" i="2"/>
  <c r="AQ229" i="2"/>
  <c r="D606" i="2" s="1"/>
  <c r="B606" i="2"/>
  <c r="AQ344" i="2"/>
  <c r="D721" i="2" s="1"/>
  <c r="B721" i="2"/>
  <c r="B545" i="2"/>
  <c r="AQ168" i="2"/>
  <c r="D545" i="2" s="1"/>
  <c r="AQ96" i="2"/>
  <c r="D473" i="2" s="1"/>
  <c r="B473" i="2"/>
  <c r="B620" i="2"/>
  <c r="AQ243" i="2"/>
  <c r="D620" i="2" s="1"/>
  <c r="B402" i="2"/>
  <c r="AQ25" i="2"/>
  <c r="D402" i="2" s="1"/>
  <c r="B707" i="2"/>
  <c r="AQ330" i="2"/>
  <c r="D707" i="2" s="1"/>
  <c r="AQ196" i="2"/>
  <c r="D573" i="2" s="1"/>
  <c r="B573" i="2"/>
  <c r="L403" i="2"/>
  <c r="B717" i="2"/>
  <c r="AQ340" i="2"/>
  <c r="D717" i="2" s="1"/>
  <c r="B700" i="2"/>
  <c r="AQ323" i="2"/>
  <c r="D700" i="2" s="1"/>
  <c r="B618" i="2"/>
  <c r="AQ241" i="2"/>
  <c r="D618" i="2" s="1"/>
  <c r="AQ36" i="2"/>
  <c r="D413" i="2" s="1"/>
  <c r="B413" i="2"/>
  <c r="AQ348" i="2"/>
  <c r="D725" i="2" s="1"/>
  <c r="B725" i="2"/>
  <c r="AQ68" i="2"/>
  <c r="D445" i="2" s="1"/>
  <c r="B445" i="2"/>
  <c r="B403" i="2"/>
  <c r="AQ26" i="2"/>
  <c r="D403" i="2" s="1"/>
  <c r="B558" i="2"/>
  <c r="AQ181" i="2"/>
  <c r="D558" i="2" s="1"/>
  <c r="B599" i="2"/>
  <c r="AQ222" i="2"/>
  <c r="D599" i="2" s="1"/>
  <c r="B603" i="2"/>
  <c r="AQ226" i="2"/>
  <c r="D603" i="2" s="1"/>
  <c r="B643" i="2"/>
  <c r="AQ266" i="2"/>
  <c r="D643" i="2" s="1"/>
  <c r="AQ272" i="2"/>
  <c r="D649" i="2" s="1"/>
  <c r="B649" i="2"/>
  <c r="AQ342" i="2"/>
  <c r="D719" i="2" s="1"/>
  <c r="B719" i="2"/>
  <c r="AQ81" i="2"/>
  <c r="D458" i="2" s="1"/>
  <c r="B458" i="2"/>
  <c r="B453" i="2"/>
  <c r="AQ76" i="2"/>
  <c r="D453" i="2" s="1"/>
  <c r="B526" i="2"/>
  <c r="AQ149" i="2"/>
  <c r="D526" i="2" s="1"/>
  <c r="B436" i="2"/>
  <c r="AQ59" i="2"/>
  <c r="D436" i="2" s="1"/>
  <c r="AQ345" i="2"/>
  <c r="D722" i="2" s="1"/>
  <c r="B722" i="2"/>
  <c r="B435" i="2"/>
  <c r="AQ58" i="2"/>
  <c r="D435" i="2" s="1"/>
  <c r="AQ269" i="2"/>
  <c r="D646" i="2" s="1"/>
  <c r="B646" i="2"/>
  <c r="B623" i="2"/>
  <c r="AQ246" i="2"/>
  <c r="D623" i="2" s="1"/>
  <c r="B639" i="2"/>
  <c r="AQ262" i="2"/>
  <c r="D639" i="2" s="1"/>
  <c r="B415" i="2"/>
  <c r="AQ38" i="2"/>
  <c r="D415" i="2" s="1"/>
  <c r="B507" i="2"/>
  <c r="AQ130" i="2"/>
  <c r="D507" i="2" s="1"/>
  <c r="AQ191" i="2"/>
  <c r="D568" i="2" s="1"/>
  <c r="B568" i="2"/>
  <c r="AQ60" i="2"/>
  <c r="D437" i="2" s="1"/>
  <c r="B437" i="2"/>
  <c r="B474" i="2"/>
  <c r="AQ97" i="2"/>
  <c r="D474" i="2" s="1"/>
  <c r="B423" i="2"/>
  <c r="AQ46" i="2"/>
  <c r="D423" i="2" s="1"/>
  <c r="B485" i="2"/>
  <c r="AQ108" i="2"/>
  <c r="D485" i="2" s="1"/>
  <c r="AQ98" i="2"/>
  <c r="D475" i="2" s="1"/>
  <c r="B475" i="2"/>
  <c r="B469" i="2"/>
  <c r="AQ92" i="2"/>
  <c r="D469" i="2" s="1"/>
  <c r="AQ214" i="2"/>
  <c r="D591" i="2" s="1"/>
  <c r="B591" i="2"/>
  <c r="B418" i="2"/>
  <c r="AQ41" i="2"/>
  <c r="D418" i="2" s="1"/>
  <c r="B635" i="2"/>
  <c r="AQ258" i="2"/>
  <c r="D635" i="2" s="1"/>
  <c r="B692" i="2"/>
  <c r="AQ315" i="2"/>
  <c r="D692" i="2" s="1"/>
  <c r="B622" i="2"/>
  <c r="AQ245" i="2"/>
  <c r="D622" i="2" s="1"/>
  <c r="B713" i="2"/>
  <c r="AQ336" i="2"/>
  <c r="D713" i="2" s="1"/>
  <c r="B625" i="2"/>
  <c r="AQ248" i="2"/>
  <c r="D625" i="2" s="1"/>
  <c r="B502" i="2"/>
  <c r="AQ125" i="2"/>
  <c r="D502" i="2" s="1"/>
  <c r="AQ332" i="2"/>
  <c r="D709" i="2" s="1"/>
  <c r="B709" i="2"/>
  <c r="B392" i="2"/>
  <c r="AQ15" i="2"/>
  <c r="D392" i="2" s="1"/>
  <c r="AQ327" i="2"/>
  <c r="D704" i="2" s="1"/>
  <c r="B704" i="2"/>
  <c r="B739" i="2"/>
  <c r="AQ362" i="2"/>
  <c r="D739" i="2" s="1"/>
  <c r="B734" i="2"/>
  <c r="AQ357" i="2"/>
  <c r="D734" i="2" s="1"/>
  <c r="AQ299" i="2"/>
  <c r="D676" i="2" s="1"/>
  <c r="B676" i="2"/>
  <c r="B420" i="2"/>
  <c r="AQ43" i="2"/>
  <c r="D420" i="2" s="1"/>
  <c r="B412" i="2"/>
  <c r="AQ35" i="2"/>
  <c r="D412" i="2" s="1"/>
  <c r="B515" i="2"/>
  <c r="AQ138" i="2"/>
  <c r="D515" i="2" s="1"/>
  <c r="B416" i="2"/>
  <c r="AQ39" i="2"/>
  <c r="D416" i="2" s="1"/>
  <c r="AQ292" i="2"/>
  <c r="D669" i="2" s="1"/>
  <c r="B669" i="2"/>
  <c r="B703" i="2"/>
  <c r="AQ326" i="2"/>
  <c r="D703" i="2" s="1"/>
  <c r="B380" i="2"/>
  <c r="AQ3" i="2"/>
  <c r="AO370" i="2"/>
  <c r="B610" i="2"/>
  <c r="AQ233" i="2"/>
  <c r="D610" i="2" s="1"/>
  <c r="B628" i="2"/>
  <c r="AQ251" i="2"/>
  <c r="D628" i="2" s="1"/>
  <c r="AQ372" i="2" l="1"/>
  <c r="D382" i="2"/>
  <c r="AQ371" i="2"/>
  <c r="D386" i="2"/>
  <c r="D380" i="2"/>
  <c r="AQ370" i="2"/>
  <c r="AR370" i="2" s="1"/>
  <c r="AU370" i="2" s="1"/>
  <c r="W483" i="2" a="1"/>
  <c r="W483" i="2" s="1"/>
  <c r="W486" i="2" a="1"/>
  <c r="W486" i="2" s="1"/>
  <c r="P480" i="2"/>
  <c r="Q480" i="2" s="1"/>
  <c r="AO399" i="2" a="1"/>
  <c r="AO399" i="2" s="1"/>
  <c r="AO404" i="2" a="1"/>
  <c r="AO404" i="2" s="1"/>
  <c r="W484" i="2" a="1"/>
  <c r="W484" i="2" s="1"/>
  <c r="AO401" i="2" a="1"/>
  <c r="AO401" i="2" s="1"/>
  <c r="Q489" i="2"/>
  <c r="W482" i="2" a="1"/>
  <c r="W482" i="2" s="1"/>
  <c r="AQ366" i="2"/>
  <c r="AI407" i="2" s="1"/>
  <c r="P485" i="2"/>
  <c r="Q485" i="2" s="1"/>
  <c r="P486" i="2"/>
  <c r="Q486" i="2" s="1"/>
  <c r="AH398" i="2"/>
  <c r="AI398" i="2" s="1"/>
  <c r="P483" i="2"/>
  <c r="Q483" i="2" s="1"/>
  <c r="Q490" i="2" a="1"/>
  <c r="Q490" i="2" s="1"/>
  <c r="W485" i="2" a="1"/>
  <c r="W485" i="2" s="1"/>
  <c r="W481" i="2" a="1"/>
  <c r="W481" i="2" s="1"/>
  <c r="P481" i="2"/>
  <c r="Q481" i="2" s="1"/>
  <c r="I370" i="2"/>
  <c r="AQ369" i="2"/>
  <c r="AR369" i="2" s="1"/>
  <c r="AQ364" i="2"/>
  <c r="AQ365" i="2" s="1"/>
  <c r="P482" i="2"/>
  <c r="Q482" i="2" s="1"/>
  <c r="AI408" i="2" a="1"/>
  <c r="AI408" i="2" s="1"/>
  <c r="AO403" i="2" a="1"/>
  <c r="AO403" i="2" s="1"/>
  <c r="AO402" i="2" a="1"/>
  <c r="AO402" i="2" s="1"/>
  <c r="AO398" i="2" a="1"/>
  <c r="AO398" i="2" s="1"/>
  <c r="D379" i="2"/>
  <c r="W480" i="2" a="1"/>
  <c r="W480" i="2" s="1"/>
  <c r="P484" i="2"/>
  <c r="Q484" i="2" s="1"/>
  <c r="AO400" i="2" a="1"/>
  <c r="AO400" i="2" s="1"/>
  <c r="AI402" i="2"/>
  <c r="D444" i="2"/>
  <c r="AQ374" i="2"/>
  <c r="D543" i="2"/>
  <c r="I368" i="2"/>
  <c r="D470" i="2"/>
  <c r="I369" i="2"/>
  <c r="AI399" i="2"/>
  <c r="D391" i="2"/>
  <c r="AQ373" i="2"/>
  <c r="AR373" i="2" s="1"/>
  <c r="AU373" i="2" s="1"/>
  <c r="AQ368" i="2"/>
  <c r="AR368" i="2" s="1"/>
  <c r="AU368" i="2" s="1"/>
  <c r="D385" i="2"/>
  <c r="AS369" i="2" l="1"/>
  <c r="AT369" i="2"/>
  <c r="AS368" i="2"/>
  <c r="AT368" i="2"/>
  <c r="R482" i="2"/>
  <c r="S482" i="2"/>
  <c r="T482" i="2"/>
  <c r="AR371" i="2"/>
  <c r="AU371" i="2" s="1"/>
  <c r="S483" i="2"/>
  <c r="R483" i="2"/>
  <c r="T483" i="2"/>
  <c r="R484" i="2"/>
  <c r="S484" i="2"/>
  <c r="T484" i="2"/>
  <c r="AL404" i="2"/>
  <c r="AK403" i="2"/>
  <c r="AL403" i="2"/>
  <c r="AJ401" i="2"/>
  <c r="AK399" i="2"/>
  <c r="AL401" i="2"/>
  <c r="AJ402" i="2"/>
  <c r="AJ399" i="2"/>
  <c r="AJ400" i="2"/>
  <c r="AK404" i="2"/>
  <c r="AJ404" i="2"/>
  <c r="AK400" i="2"/>
  <c r="AL399" i="2"/>
  <c r="AL400" i="2"/>
  <c r="AK398" i="2"/>
  <c r="AK401" i="2"/>
  <c r="AK402" i="2"/>
  <c r="AL398" i="2"/>
  <c r="AJ403" i="2"/>
  <c r="AJ398" i="2"/>
  <c r="AL402" i="2"/>
  <c r="S486" i="2"/>
  <c r="T486" i="2"/>
  <c r="R486" i="2"/>
  <c r="S485" i="2"/>
  <c r="R485" i="2"/>
  <c r="T485" i="2"/>
  <c r="S480" i="2"/>
  <c r="T480" i="2"/>
  <c r="R480" i="2"/>
  <c r="R481" i="2"/>
  <c r="S481" i="2"/>
  <c r="T481" i="2"/>
  <c r="AR372" i="2"/>
  <c r="AU372" i="2" s="1"/>
  <c r="AT370" i="2"/>
  <c r="AR374" i="2"/>
  <c r="AT373" i="2"/>
  <c r="AS373" i="2"/>
  <c r="AU369" i="2"/>
  <c r="AS370" i="2"/>
  <c r="AS374" i="2" l="1"/>
  <c r="AT374" i="2"/>
  <c r="AS372" i="2"/>
  <c r="AT372" i="2"/>
  <c r="AT371" i="2"/>
  <c r="AS371" i="2"/>
  <c r="AU374" i="2"/>
</calcChain>
</file>

<file path=xl/sharedStrings.xml><?xml version="1.0" encoding="utf-8"?>
<sst xmlns="http://schemas.openxmlformats.org/spreadsheetml/2006/main" count="7562" uniqueCount="2233">
  <si>
    <t>doi</t>
  </si>
  <si>
    <t>title</t>
  </si>
  <si>
    <t>year</t>
  </si>
  <si>
    <t>cited_by</t>
  </si>
  <si>
    <t>N_authors</t>
  </si>
  <si>
    <t>source</t>
  </si>
  <si>
    <t>id_1</t>
  </si>
  <si>
    <t>name_1</t>
  </si>
  <si>
    <t>id_2</t>
  </si>
  <si>
    <t>name_2</t>
  </si>
  <si>
    <t>id_3</t>
  </si>
  <si>
    <t>name_3</t>
  </si>
  <si>
    <t>id_4</t>
  </si>
  <si>
    <t>name_4</t>
  </si>
  <si>
    <t>id_5</t>
  </si>
  <si>
    <t>name_5</t>
  </si>
  <si>
    <t>id_6</t>
  </si>
  <si>
    <t>name_6</t>
  </si>
  <si>
    <t>id_7</t>
  </si>
  <si>
    <t>name_7</t>
  </si>
  <si>
    <t>id_8</t>
  </si>
  <si>
    <t>name_8</t>
  </si>
  <si>
    <t>id_9</t>
  </si>
  <si>
    <t>name_9</t>
  </si>
  <si>
    <t>gender_1</t>
  </si>
  <si>
    <t>gender_2</t>
  </si>
  <si>
    <t>gender_3</t>
  </si>
  <si>
    <t>gender_4</t>
  </si>
  <si>
    <t>gender_5</t>
  </si>
  <si>
    <t>gender_6</t>
  </si>
  <si>
    <t>gender_7</t>
  </si>
  <si>
    <t>gender_8</t>
  </si>
  <si>
    <t>gender_9</t>
  </si>
  <si>
    <t>https://doi.org/10.17323/1995-459x.2016.1.31.42</t>
  </si>
  <si>
    <t>https://doi.org/10.17323/2500-2597.2017.4.6.8</t>
  </si>
  <si>
    <t>https://doi.org/10.17323/2500-2597.2017.2.10.26</t>
  </si>
  <si>
    <t>https://doi.org/10.17323/2500-2597.2019.2.19.41</t>
  </si>
  <si>
    <t>https://doi.org/10.17323/2500-2597.2019.2.84.96</t>
  </si>
  <si>
    <t>https://doi.org/10.17323/1995-459x.2016.2.7.27</t>
  </si>
  <si>
    <t>https://doi.org/10.17323/1995-459x.2015.1.32.55</t>
  </si>
  <si>
    <t>https://doi.org/10.17323/2500-2597.2018.2.50.61</t>
  </si>
  <si>
    <t>https://doi.org/10.17323/1995-459x.2015.1.68.81</t>
  </si>
  <si>
    <t>https://doi.org/10.17323/2500-2597.2017.3.37.48</t>
  </si>
  <si>
    <t>https://doi.org/10.17323/2500-2597.2018.2.62.76</t>
  </si>
  <si>
    <t>https://doi.org/10.17323/1995-459x.2016.3.65.75</t>
  </si>
  <si>
    <t>https://doi.org/10.17323/2500-2597.2020.2.7.22</t>
  </si>
  <si>
    <t>https://doi.org/10.17323/2500-2597.2019.1.77.89</t>
  </si>
  <si>
    <t>https://doi.org/10.17323/2500-2597.2017.2.27.42</t>
  </si>
  <si>
    <t>https://doi.org/10.17323/2500-2597.2019.2.72.83</t>
  </si>
  <si>
    <t>https://doi.org/10.17323/1995-459x.2016.3.34.52</t>
  </si>
  <si>
    <t>https://doi.org/10.17323/2500-2597.2017.3.103.111</t>
  </si>
  <si>
    <t>https://doi.org/10.17323/1995-459x.2016.2.29.42</t>
  </si>
  <si>
    <t>https://doi.org/10.17323/2500-2597.2018.2.6.22</t>
  </si>
  <si>
    <t>https://doi.org/10.17323/1995-459x.2016.1.69.82</t>
  </si>
  <si>
    <t>https://doi.org/10.17323/1995-459x.2016.3.18.28</t>
  </si>
  <si>
    <t>https://doi.org/10.17323/2500-2597.2018.3.62.72</t>
  </si>
  <si>
    <t>https://doi.org/10.17323/2500-2597.2018.4.20.33</t>
  </si>
  <si>
    <t>https://doi.org/10.17323/2500-2597.2019.2.52.60</t>
  </si>
  <si>
    <t>https://doi.org/10.17323/2500-2597.2020.4.61.78</t>
  </si>
  <si>
    <t>https://doi.org/10.17323/1995-459x.2016.1.43.52</t>
  </si>
  <si>
    <t>https://doi.org/10.17323/1995-459x.2016.3.76.90</t>
  </si>
  <si>
    <t>https://doi.org/10.17323/2500-2597.2017.4.23.32</t>
  </si>
  <si>
    <t>https://doi.org/10.17323/2500-2597.2017.4.63.73</t>
  </si>
  <si>
    <t>https://doi.org/10.17323/1995-459x.2015.2.44.57</t>
  </si>
  <si>
    <t>https://doi.org/10.17323/1995-459x.2016.3.53.64</t>
  </si>
  <si>
    <t>https://doi.org/10.17323/2500-2597.2019.1.32.47</t>
  </si>
  <si>
    <t>https://doi.org/10.17323/1995-459x.2016.1.7.15</t>
  </si>
  <si>
    <t>https://doi.org/10.17323/1995-459x.2016.2.58.80</t>
  </si>
  <si>
    <t>https://doi.org/10.17323/1995-459x.2015.1.20.31</t>
  </si>
  <si>
    <t>https://doi.org/10.17323/1995-459x.2016.1.53.67</t>
  </si>
  <si>
    <t>https://doi.org/10.17323/2500-2597.2019.2.42.51</t>
  </si>
  <si>
    <t>https://doi.org/10.17323/2500-2597.2019.2.62.71</t>
  </si>
  <si>
    <t>https://doi.org/10.17323/2500-2597.2019.3.24.40</t>
  </si>
  <si>
    <t>https://doi.org/10.17323/2500-2597.2020.1.48.59</t>
  </si>
  <si>
    <t>https://doi.org/10.17323/2500-2597.2020.4.34.45</t>
  </si>
  <si>
    <t>https://doi.org/10.17323/2500-2597.2017.3.25.36</t>
  </si>
  <si>
    <t>https://doi.org/10.17323/2500-2597.2019.3.13.22</t>
  </si>
  <si>
    <t>https://doi.org/10.17323/2500-2597.2019.4.10.22</t>
  </si>
  <si>
    <t>https://doi.org/10.17323/2500-2597.2019.3.6.12</t>
  </si>
  <si>
    <t>https://doi.org/10.17323/1995-459x.2015.1.56.67</t>
  </si>
  <si>
    <t>https://doi.org/10.17323/1995-459x.2016.2.44.56</t>
  </si>
  <si>
    <t>https://doi.org/10.17323/1995-459x.2016.4.9.22</t>
  </si>
  <si>
    <t>https://doi.org/10.17323/2500-2597.2019.2.107.119</t>
  </si>
  <si>
    <t>https://doi.org/10.17323/2500-2597.2019.3.62.76</t>
  </si>
  <si>
    <t>https://doi.org/10.17323/2500-2597.2019.4.48.59</t>
  </si>
  <si>
    <t>https://doi.org/10.17323/2500-2597.2020.1.60.68</t>
  </si>
  <si>
    <t>https://doi.org/10.17323/2500-2597.2020.2.88.104</t>
  </si>
  <si>
    <t>https://doi.org/10.17323/2500-2597.2020.4.10.19</t>
  </si>
  <si>
    <t>https://doi.org/10.17323/2500-2597.2020.4.20.33</t>
  </si>
  <si>
    <t>https://doi.org/10.17323/2500-2597.2017.2.44.53</t>
  </si>
  <si>
    <t>https://doi.org/10.17323/1995-459x.2016.3.7.16</t>
  </si>
  <si>
    <t>https://doi.org/10.17323/2500-2597.2017.2.83.91</t>
  </si>
  <si>
    <t>https://doi.org/10.17323/2500-2597.2017.2.68.82</t>
  </si>
  <si>
    <t>https://doi.org/10.17323/2500-2597.2017.1.54.66</t>
  </si>
  <si>
    <t>https://doi.org/10.17323/2500-2597.2017.3.50.60</t>
  </si>
  <si>
    <t>https://doi.org/10.17323/2500-2597.2017.3.83.93</t>
  </si>
  <si>
    <t>https://doi.org/10.17323/2500-2597.2017.4.33.43</t>
  </si>
  <si>
    <t>https://doi.org/10.17323/2500-2597.2020.4.95.111</t>
  </si>
  <si>
    <t>https://doi.org/10.17323/2500-2597.2021.1.19.29</t>
  </si>
  <si>
    <t>https://doi.org/10.17323/2500-2597.2021.2.5.11</t>
  </si>
  <si>
    <t>https://doi.org/10.17323/1995-459x.2015.2.6.21</t>
  </si>
  <si>
    <t>https://doi.org/10.17323/1995-459x.2015.2.22.37</t>
  </si>
  <si>
    <t>https://doi.org/10.17323/1995-459x.2016.3.30.33</t>
  </si>
  <si>
    <t>https://doi.org/10.17323/2500-2597.2017.2.92.97</t>
  </si>
  <si>
    <t>https://doi.org/10.17323/2500-2597.2017.3.11.24</t>
  </si>
  <si>
    <t>https://doi.org/10.17323/2500-2597.2017.4.52.61</t>
  </si>
  <si>
    <t>https://doi.org/10.17323/2500-2597.2017.4.44.51</t>
  </si>
  <si>
    <t>https://doi.org/10.17323/2500-2597.2018.1.88.97</t>
  </si>
  <si>
    <t>https://doi.org/10.17323/2500-2597.2018.2.78.90</t>
  </si>
  <si>
    <t>https://doi.org/10.17323/2500-2597.2018.3.6.12</t>
  </si>
  <si>
    <t>https://doi.org/10.17323/2500-2597.2020.2.64.75</t>
  </si>
  <si>
    <t>https://doi.org/10.17323/2500-2597.2021.1.74.85</t>
  </si>
  <si>
    <t>https://doi.org/10.17323/2500-2597.2021.4.61.77</t>
  </si>
  <si>
    <t>https://doi.org/10.17323/2500-2597.2018.1.80.87</t>
  </si>
  <si>
    <t>https://doi.org/10.17323/2500-2597.2018.1.69.78</t>
  </si>
  <si>
    <t>https://doi.org/10.17323/2500-2597.2018.3.30.33</t>
  </si>
  <si>
    <t>https://doi.org/10.17323/2500-2597.2018.3.20.28</t>
  </si>
  <si>
    <t>https://doi.org/10.17323/2500-2597.2018.4.46.61</t>
  </si>
  <si>
    <t>https://doi.org/10.17323/2500-2597.2018.4.5.8</t>
  </si>
  <si>
    <t>https://doi.org/10.17323/2500-2597.2019.1.70.76</t>
  </si>
  <si>
    <t>https://doi.org/10.17323/2500-2597.2017.4.74.83</t>
  </si>
  <si>
    <t>https://doi.org/10.17323/2500-2597.2020.1.29.47</t>
  </si>
  <si>
    <t>https://doi.org/10.17323/2500-2597.2021.1.39.54</t>
  </si>
  <si>
    <t>https://doi.org/10.17323/2500-2597.2021.4.42.51</t>
  </si>
  <si>
    <t>https://doi.org/10.17323/1995-459x.2016.1.16.29</t>
  </si>
  <si>
    <t>https://doi.org/10.17323/2500-2597.2017.3.6.9</t>
  </si>
  <si>
    <t>https://doi.org/10.17323/2500-2597.2017.3.71.81</t>
  </si>
  <si>
    <t>https://doi.org/10.17323/2500-2597.2017.4.84.95</t>
  </si>
  <si>
    <t>https://doi.org/10.17323/2500-2597.2018.2.36.48</t>
  </si>
  <si>
    <t>https://doi.org/10.17323/2500-2597.2018.2.24.35</t>
  </si>
  <si>
    <t>https://doi.org/10.17323/2500-2597.2018.4.10.19</t>
  </si>
  <si>
    <t>https://doi.org/10.17323/2500-2597.2019.1.62.68</t>
  </si>
  <si>
    <t>https://doi.org/10.17323/2500-2597.2019.4.60.68</t>
  </si>
  <si>
    <t>https://doi.org/10.17323/2500-2597.2019.4.69.81</t>
  </si>
  <si>
    <t>https://doi.org/10.17323/2500-2597.2020.1.70.84</t>
  </si>
  <si>
    <t>https://doi.org/10.17323/2500-2597.2020.1.6.27</t>
  </si>
  <si>
    <t>https://doi.org/10.17323/2500-2597.2020.2.36.50</t>
  </si>
  <si>
    <t>https://doi.org/10.17323/2500-2597.2020.3.88.99</t>
  </si>
  <si>
    <t>https://doi.org/10.17323/2500-2597.2020.3.41.54</t>
  </si>
  <si>
    <t>https://doi.org/10.17323/2500-2597.2020.4.47.60</t>
  </si>
  <si>
    <t>https://doi.org/10.17323/2500-2597.2020.4.112.120</t>
  </si>
  <si>
    <t>https://doi.org/10.17323/2500-2597.2017.1.9.22.</t>
  </si>
  <si>
    <t>https://doi.org/10.17323/2500-2597.2021.1.6.18</t>
  </si>
  <si>
    <t>https://doi.org/10.17323/2500-2597.2021.1.97.105</t>
  </si>
  <si>
    <t>https://doi.org/10.17323/2500-2597.2021.1.56.65</t>
  </si>
  <si>
    <t>https://doi.org/10.17323/2500-2597.2021.3.35.51</t>
  </si>
  <si>
    <t>https://doi.org/10.17323/2500-2597.2021.3.52.65</t>
  </si>
  <si>
    <t>https://doi.org/10.17323/2500-2597.2021.3.66.80</t>
  </si>
  <si>
    <t>https://doi.org/10.17323/1995-459x.2015.1.6.19</t>
  </si>
  <si>
    <t>https://doi.org/10.17323/2500-2597.2021.4.22.31</t>
  </si>
  <si>
    <t>https://doi.org/10.17323/1995-459x.2016.4.25.45.</t>
  </si>
  <si>
    <t>https://doi.org/10.17323/1995-459x.2015.2.38.43</t>
  </si>
  <si>
    <t>https://doi.org/10.17323/1995-459x.2016.2.81.91</t>
  </si>
  <si>
    <t>https://doi.org/10.17323/2500-2597.2017.1.66.74.</t>
  </si>
  <si>
    <t>https://doi.org/10.17323/2500-2597.2018.1.47.55</t>
  </si>
  <si>
    <t>https://doi.org/10.17323/2500-2597.2018.4.78.89</t>
  </si>
  <si>
    <t>https://doi.org/10.17323/2500-2597.2018.4.62.77</t>
  </si>
  <si>
    <t>https://doi.org/10.17323/2500-2597.2019.1.48.61</t>
  </si>
  <si>
    <t>https://doi.org/10.17323/2500-2597.2018.4.35.44</t>
  </si>
  <si>
    <t>https://doi.org/10.17323/2500-2597.2019.2.98.106</t>
  </si>
  <si>
    <t>https://doi.org/10.17323/2500-2597.2019.3.51.60</t>
  </si>
  <si>
    <t>https://doi.org/10.17323/2500-2597.2019.3.77.88</t>
  </si>
  <si>
    <t>https://doi.org/10.17323/2500-2597.2019.3.41.49</t>
  </si>
  <si>
    <t>https://doi.org/10.17323/2500-2597.2019.4.6.8</t>
  </si>
  <si>
    <t>https://doi.org/10.17323/2500-2597.2020.2.51.62</t>
  </si>
  <si>
    <t>https://doi.org/10.17323/2500-2597.2020.3.30.39</t>
  </si>
  <si>
    <t>https://doi.org/10.17323/2500-2597.2020.4.80.94</t>
  </si>
  <si>
    <t>https://doi.org/10.17323/2500-2597.2017.1.55.65.</t>
  </si>
  <si>
    <t>https://doi.org/10.17323/2500-2597.2021.2.12.24</t>
  </si>
  <si>
    <t>https://doi.org/10.17323/2500-2597.2021.3.105.121</t>
  </si>
  <si>
    <t>https://doi.org/10.17323/2500-2597.2021.4.52.60</t>
  </si>
  <si>
    <t>https://doi.org/10.17323/2500-2597.2017.1.42.53.</t>
  </si>
  <si>
    <t>https://doi.org/10.17323/2500-2597.2018.3.34.42</t>
  </si>
  <si>
    <t>https://doi.org/10.17323/2500-2597.2019.4.35.46</t>
  </si>
  <si>
    <t>https://doi.org/10.17323/2500-2597.2019.4.23.34</t>
  </si>
  <si>
    <t>https://doi.org/10.17323/2500-2597.2020.3.15.29</t>
  </si>
  <si>
    <t>https://doi.org/10.17323/2500-2597.2020.3.55.70</t>
  </si>
  <si>
    <t>https://doi.org/10.17323/2500-2597.2020.3.6.13</t>
  </si>
  <si>
    <t>https://doi.org/10.17323/2500-2597.2020.4.6.8</t>
  </si>
  <si>
    <t>https://doi.org/10.17323/2500-2597.2021.2.65.81</t>
  </si>
  <si>
    <t>https://doi.org/10.17323/2500-2597.2021.1.86.96</t>
  </si>
  <si>
    <t>https://doi.org/10.17323/2500-2597.2021.2.52.64</t>
  </si>
  <si>
    <t>https://doi.org/10.17323/2500-2597.2021.2.25.38</t>
  </si>
  <si>
    <t>https://doi.org/10.17323/2500-2597.2021.2.39.51</t>
  </si>
  <si>
    <t>https://doi.org/10.17323/2500-2597.2021.3.94.104</t>
  </si>
  <si>
    <t>https://doi.org/10.17323/2500-2597.2021.4.9.21</t>
  </si>
  <si>
    <t>https://doi.org/10.17323/2500-2597.2021.3.6.21</t>
  </si>
  <si>
    <t>https://doi.org/10.17323/2500-2597.2021.3.81.92</t>
  </si>
  <si>
    <t>https://doi.org/10.17323/1995-459x.2015.2.58.71</t>
  </si>
  <si>
    <t>https://doi.org/10.17323/1995-459x.2016.4.72.79.</t>
  </si>
  <si>
    <t>https://doi.org/10.17323/1995-459x.2016.4.60.70.</t>
  </si>
  <si>
    <t>https://doi.org/10.17323/1995-459x.2013.3.74.81</t>
  </si>
  <si>
    <t>https://doi.org/10.17323/2500-2597.2017.3.61.70</t>
  </si>
  <si>
    <t>https://doi.org/10.17323/2500-2597.2018.1.56.67</t>
  </si>
  <si>
    <t>https://doi.org/10.17323/2500-2597.2018.3.13.19</t>
  </si>
  <si>
    <t>https://doi.org/10.17323/2500-2597.2020.2.76.86</t>
  </si>
  <si>
    <t>https://doi.org/10.17323/2500-2597.2020.3.72.87</t>
  </si>
  <si>
    <t>https://doi.org/10.17323/2500-2597.2020.3.101.112</t>
  </si>
  <si>
    <t>https://doi.org/10.17323/2500-2597.2021.1.31.38</t>
  </si>
  <si>
    <t>https://doi.org/10.17323/2500-2597.2017.1.24.30.</t>
  </si>
  <si>
    <t>https://doi.org/10.17323/2500-2597.2021.3.23.34</t>
  </si>
  <si>
    <t>https://doi.org/10.17323/2500-2597.2021.4.33.41</t>
  </si>
  <si>
    <t>https://doi.org/10.17323/2500-2597.2021.4.5.7</t>
  </si>
  <si>
    <t>https://doi.org/10.17323/1995-459x.2016.4.7.24.</t>
  </si>
  <si>
    <t>https://doi.org/10.17323/1995-459x.2016.4.46.58.</t>
  </si>
  <si>
    <t>https://doi.org/10.17323/2500-2597.2019.1.6.18.</t>
  </si>
  <si>
    <t>Quadruple Innovation Helix and Smart Specialization: Knowledge Production and National Competitiveness</t>
  </si>
  <si>
    <t>Industry 4.0: New Challenges and Opportunities for the Labour Market</t>
  </si>
  <si>
    <t>The Knowledge Triangle between Research, Education and Innovation – A Conceptual Discussion</t>
  </si>
  <si>
    <t>Generic and Specific Skills as Components of Human Capital: New Challenges for Education Theory and Practice</t>
  </si>
  <si>
    <t>The Risks of Digitalization and the Adaptation of Regional Labor Markets in Russia</t>
  </si>
  <si>
    <t>Robotics: Breakthrough Technologies, Innovation, Intellectual Property</t>
  </si>
  <si>
    <t>Pilot Innovative Territorial Clusters in Russia: A Sustainable Development Model</t>
  </si>
  <si>
    <t>Beyond Education: The Role of Research Universities in Innovation Ecosystems</t>
  </si>
  <si>
    <t>Foresight, Competitive Intelligence and Business Analytics — Tools for Making Industrial Programmes More Efficient</t>
  </si>
  <si>
    <t>The Automation of Jobs: A Threat for Employment or a Source of New Entrepreneurial Opportunities?</t>
  </si>
  <si>
    <t>Open Innovation Platforms as a Knowledge Triangle Policy Tool – Evidence from Finland</t>
  </si>
  <si>
    <t>The Smart City Approach as a Response to Emerging Challenges for Urban Development</t>
  </si>
  <si>
    <t>How COVID-19 Pandemics Influences Chinese Economic Sustainability</t>
  </si>
  <si>
    <t>Foresight in Higher Education Institutions: Evidence from Poland</t>
  </si>
  <si>
    <t>Higher Education Institutions in the Knowledge Triangle</t>
  </si>
  <si>
    <t>The Industry 4.0 Induced Agility and New Skills in Clusters</t>
  </si>
  <si>
    <t>Potential High-Tech Сlusters in Russian Regions: From Current Policy to New Growth Areas</t>
  </si>
  <si>
    <t>Eco-Innovation and Firm Efficiency: Empirical Evidence from Slovenia</t>
  </si>
  <si>
    <t>Determinants of Regional Innovation in Russia: Are People or Capital More Important?</t>
  </si>
  <si>
    <t>The Practice and Future of Financing Science, Technology, and Innovation</t>
  </si>
  <si>
    <t>Foresight Applications to the Analysis of Global Value Chains</t>
  </si>
  <si>
    <t>Towards Future Customer Experience: Trends and Innovation in Retail</t>
  </si>
  <si>
    <t>The Impact of Externalities on the Innovation Activity of Russian Firms</t>
  </si>
  <si>
    <t>New Technological Revolution and Energy Requirements</t>
  </si>
  <si>
    <t>Coworking Space: A Window to the Future of Work?</t>
  </si>
  <si>
    <t>Adoption of Industry 4.0 Technologies and Company Competitiveness: Case Studies from a Post-Transition Economy</t>
  </si>
  <si>
    <t>Public Sector Supply Chain Management: A Triple Helix Approach to Aligning Innovative Environmental Initiatives</t>
  </si>
  <si>
    <t>Modeling the Development of Regional Economy and an Innovation Space Efficiency</t>
  </si>
  <si>
    <t>Solo Self-Employment, Human Capital and Hybrid Labour in the Gig Economy</t>
  </si>
  <si>
    <t>The Approach of the Business Sector to Responsible Research and Innovation (RRI)</t>
  </si>
  <si>
    <t>Entrepreneurship Theory: New Challenges and Future Prospects</t>
  </si>
  <si>
    <t>Single-Industry Towns of Russia: Lock-In and Drivers of Innovative Search</t>
  </si>
  <si>
    <t>Smart Specialization as a Tool to Foster Innovation in Emerging Economies: Lessons from Brazil</t>
  </si>
  <si>
    <t>Approaches to the Formulation of Russia’s Technological Priorities</t>
  </si>
  <si>
    <t>Social and Business Innovations: Are Common Measurement Approaches Possible?</t>
  </si>
  <si>
    <t>Advanced Manufacturing Technologies in Russia: Outlines of a New Policy</t>
  </si>
  <si>
    <t>Foreign Technology Transfer: An Assessment of Russia’s Economic Dependence on High-Tech Imports</t>
  </si>
  <si>
    <t>Twenty-First Century Skills in Finance: Prospects for a Profound Job Transformation</t>
  </si>
  <si>
    <t>Regional Emergence of Start-Ups in Information Technologies: The Role of Knowledge, Skills and Opportunities</t>
  </si>
  <si>
    <t>“Whirlpools” and “Safe Harbors” in the Dynamics of Industrial Specialization in Russian Regions</t>
  </si>
  <si>
    <t>IT Governance Enablers</t>
  </si>
  <si>
    <t>Strategies of Dynamic Complexity Management</t>
  </si>
  <si>
    <t>From Entrepreneurial Aspirations to Founding a Business: The Case of Russian Students</t>
  </si>
  <si>
    <t>The Innovative Platform Programme in South Korea: Economic Policies in Innovation-Driven Growth</t>
  </si>
  <si>
    <t>Ecosystem as the Source of Entrepreneurial Opportunities</t>
  </si>
  <si>
    <t>User Innovation in the Digital Economy</t>
  </si>
  <si>
    <t>Business-catalysts as Drivers of Regional Innovation Systems</t>
  </si>
  <si>
    <t>Determinants of Research Productivity: An Individual-level Lens</t>
  </si>
  <si>
    <t>The Future of Employment: Evaluating Impact of STI Foresight Exercises</t>
  </si>
  <si>
    <t>The Role of Human Capital in Science, Technology and Innovation</t>
  </si>
  <si>
    <t>Strategic Entrepreneurship in Russia during Economic Crisis</t>
  </si>
  <si>
    <t>Historical and Institutional Determinants of Universities’ Role in Fostering Entrepreneurship</t>
  </si>
  <si>
    <t>Trust-Based Determinants of Future Intention to Use Technology</t>
  </si>
  <si>
    <t>Foresight for Career Development</t>
  </si>
  <si>
    <t>Technology Foresight and Sustainable Innovation Development in the Complex Dynamical Systems View</t>
  </si>
  <si>
    <t>Uncertainties, Knowledge, and Futures in Foresight Studies — A Case of the Industry 4.0</t>
  </si>
  <si>
    <t>How Will Open Science Impact on University-Industry Collaborations?</t>
  </si>
  <si>
    <t>China-2025: Research and Innovation Landscape</t>
  </si>
  <si>
    <t>The Effect of Talent Management Process on the Research Performance of Faculty Members with the Mediating Role of Organizational Justice</t>
  </si>
  <si>
    <t>Knowledge Triangle Configurations at Three Swedish Universities</t>
  </si>
  <si>
    <t>Service or Devotion? Motivation Patterns of Russian Researchers</t>
  </si>
  <si>
    <t>The Aspirations of New Technology-Based Firms in CEE and CIS Countries</t>
  </si>
  <si>
    <t>Suboptimal Size: Factors Preventing the Growth of Russian Small and Medium-Sized Enterprises</t>
  </si>
  <si>
    <t>Recruiting and Job Search Technologies in the Age of Internet</t>
  </si>
  <si>
    <t>Opening Science and Innovation: Opportunities for Emerging Economies</t>
  </si>
  <si>
    <t>The Spread of Gig Economy: Trends and Effects</t>
  </si>
  <si>
    <t>Foresight and Roadmapping Methodology: Trends and Outlook</t>
  </si>
  <si>
    <t>Technological Landscape and Collaborations in Hybrid Vehicles Industry</t>
  </si>
  <si>
    <t>The Role of Companies in Human Capital Accumulation: Cross-Country Analysis</t>
  </si>
  <si>
    <t>Spatial Development and Innovation in Russia</t>
  </si>
  <si>
    <t>Relationships between Lecturer Performance, Organizational Culture, Leadership, and Achievement Motivation</t>
  </si>
  <si>
    <t>Entrepreneurial Activity in Post-Socialist Countries: Methodology and Research Limitations</t>
  </si>
  <si>
    <t>Human Resource Management at Russian Companies — Leaders of the Global Economy</t>
  </si>
  <si>
    <t>Relationship between Knowledge Management and Managerial Skills: The Role of Creative Thinking</t>
  </si>
  <si>
    <t>Hearing the Sound of the Wave: What Impedes One’s Ability to Foresee Innovations?</t>
  </si>
  <si>
    <t>The Psychological Aspects of Corporate Foresight</t>
  </si>
  <si>
    <t>Quiet Contributors: The Role of the Arts, Humanities and Social Sciences in Innovation</t>
  </si>
  <si>
    <t>Interactive Applications with Artificial Intelligence: The Role of Trust among Digital Assistant Users</t>
  </si>
  <si>
    <t>Strategies for Green Economy in China</t>
  </si>
  <si>
    <t>Pandemic Challenges for the Technological Startups in the Russian Regions</t>
  </si>
  <si>
    <t>The Knowledge Triangle in the Healthcare Sector — The Case of Three Medical Faculties in Norway</t>
  </si>
  <si>
    <t>Mapping the Research Landscape of Agricultural Sciences</t>
  </si>
  <si>
    <t>Enhancing Innovation Performance in Companies</t>
  </si>
  <si>
    <t>The Future of the Italian Electricity Generation Sector. An Analysis of the Possible Strategic Models</t>
  </si>
  <si>
    <t>Applying Global Databases to Foresight for Energy and Land Use: the GCDB method</t>
  </si>
  <si>
    <t>New Energy Sources, Technologies, and Systems: The Priority of Social, Climate, and Environmental Issues</t>
  </si>
  <si>
    <t>Innovation Vouchers for Energy and Innovation Systems’ Transition</t>
  </si>
  <si>
    <t>Basic Research Support by the Russian Science Foundation: What Can We Learn from the First Grant Competition?</t>
  </si>
  <si>
    <t>Random Interaction Effect of Digital Transformation on General Price Level and Economic Growth</t>
  </si>
  <si>
    <t>Perception of New Technologies: Constructing an Innovation Openness Index</t>
  </si>
  <si>
    <t>The COVID-19 Pandemic and Entrepreneurship in Germany</t>
  </si>
  <si>
    <t>Internationalization of Product-Service Systems: Global, Regional or National Strategy?</t>
  </si>
  <si>
    <t>Innovation Entrepreneurship in Transition Economies: Problems and Outlook</t>
  </si>
  <si>
    <t>The Choice of Funding Sources for Start-Ups in a Transitional Economy: The Ability to Predict in a National Context</t>
  </si>
  <si>
    <t>What Prevents Universities from the Involvement into the Creating Dual Technologies?</t>
  </si>
  <si>
    <t>Technology Acceptance and Future of Internet Banking in Vietnam</t>
  </si>
  <si>
    <t>Perspectives of Manufacturing Subsidiaries of Foreign Companies in Russia: Frontier, Faubourg or Sticks?</t>
  </si>
  <si>
    <t>Integrated Water-Energy Policy for Sustainable Development</t>
  </si>
  <si>
    <t>Innovations, Sustainable Growth and Energetics: Is Leap of Civilization Possible?</t>
  </si>
  <si>
    <t>Fostering of Entrepreneurship Competencies and Entrepreneurial Intentions in a Weak Ecosystem</t>
  </si>
  <si>
    <t>Structure, Challenges and Opportunities for Development of Entrepreneurial Education in Russian Universities</t>
  </si>
  <si>
    <t>Impact of Self-driving Cars for Urban Development</t>
  </si>
  <si>
    <t>A Disrupted Future?</t>
  </si>
  <si>
    <t>Competitiveness of Small and Medium Businesses and Competitive Pressure in the Manufacturing Industry</t>
  </si>
  <si>
    <t>Changing Priorities for Strategic Planning from National to Territorial Levels</t>
  </si>
  <si>
    <t>Mapping the Technological Landscape to Accelerate Innovation</t>
  </si>
  <si>
    <t>Общие и специальные навыки как компоненты человеческого капитала: новые вызовы для теории и практики образования</t>
  </si>
  <si>
    <t>Systemic Change: The Complexity of Business in a Circular Economy</t>
  </si>
  <si>
    <t>The “Linked Prosperity” Model as an Integrated Response to Corporate Management Challenges in a Network Society</t>
  </si>
  <si>
    <t>Corporate Foresight in Multinational Business Strategies</t>
  </si>
  <si>
    <t>The Impact of the Coronacrisis on KIBS Sector</t>
  </si>
  <si>
    <t>Corporate Practices of Green Human Resources Management</t>
  </si>
  <si>
    <t>Early Career Researchers between Predatory Publishing and Academic Excellence: The Views and Behaviours of the Millennials</t>
  </si>
  <si>
    <t>Green digitalization in the electric power industry</t>
  </si>
  <si>
    <t>Transformation of Value in Innovative Business Models: The Case of Pharmaceutical Market</t>
  </si>
  <si>
    <t>Innovation Ecosystems in the Automotive Industry between Opportunities and Limitations</t>
  </si>
  <si>
    <t>Social Embeddedness of Technology: Prospective Research Areas</t>
  </si>
  <si>
    <t>Informal Entrepreneurship Education: Overview of the Russian Field</t>
  </si>
  <si>
    <t>Import Dependence and Import Substitution in Russian Manufacturing: A Business Viewpoint</t>
  </si>
  <si>
    <t>From Research Project to Research Portfolio: Meeting Scale and Complexity</t>
  </si>
  <si>
    <t>Electronic ‘Knowledge Factories’ versus Micro-environment of Innovation: Who Will Win?</t>
  </si>
  <si>
    <t>The Development of an Intelligent Leadership Model for State Universities</t>
  </si>
  <si>
    <t>Additive Manufacturing in Healthcare</t>
  </si>
  <si>
    <t>Limits of Technological Efficiency of Shale Oil Production in the USA</t>
  </si>
  <si>
    <t>Assessing the Future of Renewable Energy Consumption for United Kingdom, Turkey and Nigeria</t>
  </si>
  <si>
    <t>The Synergy and Cycle Values in Regional Innovation Systems: The Case of Norway</t>
  </si>
  <si>
    <t>Energy Consumption of the Russian Road Transportation Sector: Prospects for Inter-Fuel Competition in Terms of Technological Innovation</t>
  </si>
  <si>
    <t>Learning to Theorize in a Complex and Changing World</t>
  </si>
  <si>
    <t>Patterns of Investing into Business R&amp;D in South Africa</t>
  </si>
  <si>
    <t>Social Entrepreneurship Policy: Evidences from the Italian Reform</t>
  </si>
  <si>
    <t>Russian Technograds: The Technological Profiles of the Cities</t>
  </si>
  <si>
    <t>Entrepreneurship Ecosystems in Post-Socialist Economies</t>
  </si>
  <si>
    <t>Tax Incentives for Supporting Competitiveness of Telecommunication Manufacturers</t>
  </si>
  <si>
    <t>Contemporary Practices of Intelligence Support for Competitiveness</t>
  </si>
  <si>
    <t>Cooperative Strategies in the Age of Open Innovation: Choice of Partners, Geography and Duration</t>
  </si>
  <si>
    <t>Approaches to Defining and Measuring Russia’s Internet Economy</t>
  </si>
  <si>
    <t>Forecasting Technology Trends through the Gap Between Science and Technology: The Case of Software as an E-Commerce Service</t>
  </si>
  <si>
    <t>Teaching Foresight and Futures Literacy and Its Integration into University Curriculum</t>
  </si>
  <si>
    <t>A First Year’s Impact of the Pandemic on the Czech Entrepreneurial Activity</t>
  </si>
  <si>
    <t>Middle Innovation Trap</t>
  </si>
  <si>
    <t>Scientific Cooperation in a German-Polish Border Region in the Light of EU Enlargement</t>
  </si>
  <si>
    <t>От предпринимательских намерений - к созданию бизнеса: опыт российских студентов</t>
  </si>
  <si>
    <t>Грантовая поддержка фундаментальных исследований в России: уроки первого конкурса Российского научного фонда</t>
  </si>
  <si>
    <t>Internationalization and Innovation in Emerging Markets</t>
  </si>
  <si>
    <t>«Умная специализация» как стимул инновационной экономики в развивающихся странах. Уроки Бразилии</t>
  </si>
  <si>
    <t>Developing Local Entrepreneurship Ecosystems by Foreign Investment</t>
  </si>
  <si>
    <t>Entrepreneurial Innovations in Countries at Different Stages of Development</t>
  </si>
  <si>
    <t>Intelligent Technology Scanning: Aims, Content, and Practice</t>
  </si>
  <si>
    <t>The Next Pharmaceutical Path: Determining Technology Evolution in Drug Delivery Products Fabricated with Additive Manufacturing</t>
  </si>
  <si>
    <t>Competitive Intelligence through the Eyes of the Professionals</t>
  </si>
  <si>
    <t>System Theory Approach as a Basis of Strategic Management</t>
  </si>
  <si>
    <t>Agile Roadmapping: An Adaptive Approach to Technology Foresight</t>
  </si>
  <si>
    <t>Foresight for Small and Medium Enterprises in the Context of the Circular Economy</t>
  </si>
  <si>
    <t>Knowledge Co-Creation Roadmapping for Future Industrial Visions: Case Study on Smart Infrastructure</t>
  </si>
  <si>
    <t>Repositioning People in Creative Futures: A Method to Create Sound Advice with Exploratory Scenarios</t>
  </si>
  <si>
    <t>Roadmapping in the Era of Uncertainty: How to Integrate Data-Driven Methods with Expert Insights</t>
  </si>
  <si>
    <t>Multi-Framework Implementation of the Problem Management Process</t>
  </si>
  <si>
    <t>Exploring the Governance of Entrepreneurial Ecosystems for Productive High Growth</t>
  </si>
  <si>
    <t>New Strategic Approaches to Gaining from Emerging Advanced Manufacturing Markets</t>
  </si>
  <si>
    <t>Innovation Policy Learning in Iran’s Development Plans</t>
  </si>
  <si>
    <t>Пилотные инновационные территориальные кластеры России: модель устойчивого развития</t>
  </si>
  <si>
    <t>Long-term Stochastic Forecasting of the Nuclear Energy Global Market</t>
  </si>
  <si>
    <t>Теория предпринимательства: новые вызовы и перспективы</t>
  </si>
  <si>
    <t>Технологический ландшафт и кооперация в сфере производства автомобилей с гибридным приводом</t>
  </si>
  <si>
    <t>Долгосрочное стохастическое прогнозирование мирового рынка ядерной энергетики</t>
  </si>
  <si>
    <t>От исследовательского проекта к исследовательскому портфелю: адаптация к масштабу и сложности</t>
  </si>
  <si>
    <t>Формирование национальной системы технологического Форсайта в Корее</t>
  </si>
  <si>
    <t>Предпринимательская ориентация российских фирм: роль внешней среды</t>
  </si>
  <si>
    <t>Патентный ландшафт сферы нанотехнологий</t>
  </si>
  <si>
    <t>Приоритеты науки и практика Форсайт-исследований в ЮАР</t>
  </si>
  <si>
    <t>Мобильный банкинг в России: стимулы пользователей к адаптации</t>
  </si>
  <si>
    <t>Управление сценарным планированием через потребление концептов</t>
  </si>
  <si>
    <t>Выбор направлений научно-технического сотрудничества России</t>
  </si>
  <si>
    <t>Перспективы распространения телемедицины: прогностическое моделирование на примере сельских районов США</t>
  </si>
  <si>
    <t>Эпистемологические основы музыкального пиратства на цифровом рынке</t>
  </si>
  <si>
    <t>Долгосрочные социально-экономические вызовы для России и востребованность новых технологий</t>
  </si>
  <si>
    <t>Перспективные производственные технологии в России: контуры новой политики</t>
  </si>
  <si>
    <t>Бизнес-катализаторы как драйверы развития региональных инновационных систем</t>
  </si>
  <si>
    <t>Четырехзвенная спираль инноваций и «умная специализация»: производство знаний и национальная конкурентоспособность</t>
  </si>
  <si>
    <t>Трансфер зарубежных технологий: оценка зависимости российской экономики от импорта высокотехнологичных товаров</t>
  </si>
  <si>
    <t>Управление цепочками поставок в государственном секторе: модель «Тройной спирали» и координация инновационных экологических инициатив</t>
  </si>
  <si>
    <t>Форсайт, конкурентная разведка и бизнес-аналитика — инструменты повышения эффективности отраслевых программ</t>
  </si>
  <si>
    <t>Интернационализация систем «Продукт - услуга»: глобальная, региональная или национальная стратегия?</t>
  </si>
  <si>
    <t>Подходы к формированию приоритетов технологического развития России</t>
  </si>
  <si>
    <t>Социальные и бизнес-инновации: возможны ли единые подходы к измерению?</t>
  </si>
  <si>
    <t>Робототехника: прорывные технологии, инновации, интеллектуальная собственность</t>
  </si>
  <si>
    <t>Факторы результативности научной деятельности: микроуровневый анализ</t>
  </si>
  <si>
    <t>ФАКТОРЫ ИННОВАЦИОННОЙ АКТИВНОСТИ РЕГИОНОВ РОССИИ: ЧТО ВАЖНЕЕ - ЧЕЛОВЕК ИЛИ КАПИТАЛ?</t>
  </si>
  <si>
    <t>Моделирование развития экономики региона и эффективность пространства инноваций</t>
  </si>
  <si>
    <t>Потенциальные высокотехнологичные кластеры в российских регионах: от текущей политики к новым точкам роста</t>
  </si>
  <si>
    <t>Пространственное развитие и инновации в России</t>
  </si>
  <si>
    <t>Навстречу будущему потребительскому опыту: тренды и инновации в розничной торговле</t>
  </si>
  <si>
    <t>КИТАЙ-2025: НАУЧНЫЙ И ИННОВАЦИОННЫЙ ЛАНДШАФТ</t>
  </si>
  <si>
    <t>Монопрофильные города России: блокировки и драйверы инновационного поиска</t>
  </si>
  <si>
    <t>Патентный анализ жизненного цикла технологий (на примере нефтяного сектора)</t>
  </si>
  <si>
    <t>Patent-Based Technology Life Cycle Analysis: The Case of the Petroleum Industry</t>
  </si>
  <si>
    <t>Is Flexible Labor Good for Innovation? Evidence from Russian Firm-level Data</t>
  </si>
  <si>
    <t>Инновационная активность российских предприятий: влияние срочных трудовых договоров</t>
  </si>
  <si>
    <t>Сектор интеллектуальных услуг в России: последствия кризиса 2014-2015 гг</t>
  </si>
  <si>
    <t>Интеграция и конкуренция в Европе: инновационная политика в сетевой и энтропийной перспективах</t>
  </si>
  <si>
    <t>Влияние интеллектуального капитала на результаты деятельности российских производственных компаний</t>
  </si>
  <si>
    <t>Почему и как стоимость наукоемких компаний нарушает финансовую теорию: эффекты для политики и управления</t>
  </si>
  <si>
    <t>Трансграничное научное сотрудничество Германии и Польши в контексте «Восточного» расширения ЕС</t>
  </si>
  <si>
    <t>Разработка модели интеллектуального лидерства для государственных университетов</t>
  </si>
  <si>
    <t>Институты высшего образования в «треугольнике знаний»</t>
  </si>
  <si>
    <t>Роль университетов в «треугольнике знаний»</t>
  </si>
  <si>
    <t>Конфигурации «Треугольника знаний» в трех шведских университетах</t>
  </si>
  <si>
    <t>Как открытая наука повлияет на партнерство университетов и компаний</t>
  </si>
  <si>
    <t>Взаимосвязи между организационной культурой, лидерством, мотивацией к достижениям и результативностью университетских преподавателей</t>
  </si>
  <si>
    <t>Управление потенциалом преподавателей как инструмент повышения их научной продуктивности: роль организационной справедливости</t>
  </si>
  <si>
    <t>Служба или служение? Мотивационные паттерны российских ученых</t>
  </si>
  <si>
    <t>«Треугольник знаний» между сферами науки, образования и инноваций: концептуальная дискуссия</t>
  </si>
  <si>
    <t>Режимы инновационной деятельности компаний в секторе интеллектуальных услуг</t>
  </si>
  <si>
    <t>Взаимоотношения стейкхолдеров и технологических предпринимателей в наукоемких стартапах: опыт Турции</t>
  </si>
  <si>
    <t>Влияние экологических инноваций на эффективность компаний: опыт Словении</t>
  </si>
  <si>
    <t>Автоматизация рабочих мест: угроза для занятости или источник предпринимательских возможностей?</t>
  </si>
  <si>
    <t>Установки новых технологических компаний стран СНГ, Центральной и Восточной Европы</t>
  </si>
  <si>
    <t>Субоптимальный масштаб: факторы, препятствующие росту российских малых и средних компаний</t>
  </si>
  <si>
    <t>Выбор источника инвестиций ранним предпринимателем в переходной экономике: возможности прогнозирования</t>
  </si>
  <si>
    <t>International Workshop «Public Research Organisations and Industry-Science Links»</t>
  </si>
  <si>
    <t>Stakeholder Relationships in the Framework of R&amp;D-based Startups: Evidence from Turkey</t>
  </si>
  <si>
    <t>Индустрия 4.0: новые вызовы и возможности для рынка труда</t>
  </si>
  <si>
    <t>Ответственный подход к исследованиям и инновациям в предпринимательском секторе</t>
  </si>
  <si>
    <t>Индивидуальная самозанятость, человеческий капитал и гибридная работа в условиях гигномики</t>
  </si>
  <si>
    <t>Что препятствует участию университетов в создании технологий двойного назначения</t>
  </si>
  <si>
    <t>Управление человеческими ресурсами в российских компаниях — лидерах мировой экономики</t>
  </si>
  <si>
    <t>Управление знаниями и управленческие компетенции: роль творческого мышления</t>
  </si>
  <si>
    <t>Технологии рекрутинга и поиска работы в эпоху интернета</t>
  </si>
  <si>
    <t>Будущее занятости: оценка эффектов Форсайта в сфере науки, технологий и инноваций</t>
  </si>
  <si>
    <t>Услышать шум волны: что мешает предвидеть инновации?</t>
  </si>
  <si>
    <t>Моделирование факторов, влияющих на функционирование сетей знаний</t>
  </si>
  <si>
    <t>Библиометрический анализ как инструмент выявления распространенных и возникающих методов технологического Форсайта</t>
  </si>
  <si>
    <t>«Треугольник знаний» в сфере здравоохранения - опыт медицинских факультетов норвежских университетов</t>
  </si>
  <si>
    <t>Аддитивные производственные технологии в здравоохранении</t>
  </si>
  <si>
    <t>Формирование научного ландшафта в области сельскохозяйственных наук</t>
  </si>
  <si>
    <t>Modeling the Factors that Affect the Implementation of Knowledge Networks</t>
  </si>
  <si>
    <t>Финансирование науки, технологий и инноваций: современная практика и перспективы</t>
  </si>
  <si>
    <t>Платформы открытых инноваций как инструмент «треугольника знаний»: опыт Финляндии</t>
  </si>
  <si>
    <t>Не только образование: роль исследовательских университетов в инновационных экосистемах</t>
  </si>
  <si>
    <t>Повышение эффективности инновационной деятельности компаний</t>
  </si>
  <si>
    <t>Неявные участники: вклад искусства, гуманитарных и социальных наук в создание инноваций</t>
  </si>
  <si>
    <t>Перспективы итальянского сектора электроэнергетики: оценка возможных стратегических моделей</t>
  </si>
  <si>
    <t>Региональные факторы инновационной активности российских предприятий</t>
  </si>
  <si>
    <t>Роль менеджмента информационных технологий в цифровой трансформации российских компаний</t>
  </si>
  <si>
    <t>Исследовательские программы как инструмент преодоления социальных вызовов: согласование политики, реализации и ожиданий</t>
  </si>
  <si>
    <t>Интернационализация и инновации на возникающих рынках</t>
  </si>
  <si>
    <t>Развитие персонала в китайских инновационно-активных компаниях</t>
  </si>
  <si>
    <t>Перспективы производственных подразделений зарубежных компаний в России: фронтир, предместье или захолустье?</t>
  </si>
  <si>
    <t>Психологические аспекты корпоративного Форсайта</t>
  </si>
  <si>
    <t>Research Programmes that Address Societal Challenges — Aligning Policy, Implementation, and Expected Impact</t>
  </si>
  <si>
    <t>Применение глобальных баз данных в Форсайт-исследованиях энергетики и землепользования: метод GCDB</t>
  </si>
  <si>
    <t>Интеграция водной и энергетической политики как основа для устойчивого развития</t>
  </si>
  <si>
    <t>Перспективы развития возобновляемой энергетики в Великобритании, Турции и Нигерии</t>
  </si>
  <si>
    <t>Новая технологическая революция и требования к энергетике</t>
  </si>
  <si>
    <t>Пределы технологической эффективности добычи сланцевой нефти в США</t>
  </si>
  <si>
    <t>Энергопотребление российского автомобильного сектора: роль технологических инноваций в межтопливной конкуренции</t>
  </si>
  <si>
    <t>Новые источники энергии, энергетические технологии и системы: приоритет социальных, климатических и природоохранных факторов</t>
  </si>
  <si>
    <t>Восприимчивость к технологиям и перспективы интернет-банкинга во Вьетнаме</t>
  </si>
  <si>
    <t>Инновации, устойчивый рост и энергетика: возможен ли цивилизационный рывок?</t>
  </si>
  <si>
    <t>Форсайт в секторе высшего образования: опыт Польши</t>
  </si>
  <si>
    <t>Как подготовиться к «безработному» будущему</t>
  </si>
  <si>
    <t>Ловушка среднего уровня инноваций</t>
  </si>
  <si>
    <t>Синергия и цикличность региональных инновационных систем: пример Норвегии</t>
  </si>
  <si>
    <t>Инновационные ваучеры для новой энергетики и развития инновационных систем</t>
  </si>
  <si>
    <t>Технологический прогресс, трансформация рынков труда и спрос на компетенции</t>
  </si>
  <si>
    <t>Роль знаний, навыков и возможностей в формировании региональных стартапов в сфере информационных технологий</t>
  </si>
  <si>
    <t>Потенциал кластеров по формированию востребованных компетенций и развитию гибкости компаний</t>
  </si>
  <si>
    <t>Риски цифровизации и адаптация региональных рынков труда в России</t>
  </si>
  <si>
    <t>Развитие навыков теоретизирования в условиях сложного и быстроменяющегося мира</t>
  </si>
  <si>
    <t>Роль человеческого капитала в сфере науки, технологий и инноваций</t>
  </si>
  <si>
    <t>Innovation, Sustainable Growth, and Energy: Is Leap Forward for Civilization Possible?</t>
  </si>
  <si>
    <t>Коворкинг как модель занятости будущего</t>
  </si>
  <si>
    <t>Будущее труда: деструктивные и трансформационные эффекты цифровизации</t>
  </si>
  <si>
    <t>Technological Development, Changes on Labor Markets, and Demand for Skills</t>
  </si>
  <si>
    <t>РОССИЙСКИЕ ТЕХНОГРАДЫ: ТЕХНОЛОГИЧЕСКИЕ ПРОФИЛИ ГОРОДОВ</t>
  </si>
  <si>
    <t>Программа инновационных платформ как новый драйвер экономического роста Южной Кореи</t>
  </si>
  <si>
    <t>Стратегическое предпринимательство в России в период экономического кризиса</t>
  </si>
  <si>
    <t>Пользовательские инновации в цифровой экономике</t>
  </si>
  <si>
    <t>"Водовороты" и "тихие гавани" в динамике отраслевой специализации регионов России</t>
  </si>
  <si>
    <t>Опыт Италии по реформированию политики в сфере социального предпринимательства</t>
  </si>
  <si>
    <t>ПАТТЕРНЫ ИНВЕСТИРОВАНИЯ В ПРЕДПРИНИМАТЕЛЬСКИЙ СЕКТОР НАУКИ ЮАР</t>
  </si>
  <si>
    <t>Структура, вызовы и возможности развития предпринимательского образования в российских университетах</t>
  </si>
  <si>
    <t>Формирование предпринимательских навыков и намерений в слабой экосистеме</t>
  </si>
  <si>
    <t>Предпринимательские инновации в странах с разным уровнем развития</t>
  </si>
  <si>
    <t>Экосистема как источник предпринимательских возможностей</t>
  </si>
  <si>
    <t>Стимулирование локального предпринимательства посредством иностранных инвестиций</t>
  </si>
  <si>
    <t>Историко-институциональные аспекты роли университетов в развитии предпринимательства</t>
  </si>
  <si>
    <t>Факторы эффективного управления в сфере информационных технологий</t>
  </si>
  <si>
    <t>Будущее сквозь призму подрывных инноваций</t>
  </si>
  <si>
    <t>Доверие как детерминант будущего спроса на технологии</t>
  </si>
  <si>
    <t>Эффект случайного воздействия цифровой трансформации на общий уровень цен и экономический рост</t>
  </si>
  <si>
    <t>Выбор технологий с помощью метода TOPSIS</t>
  </si>
  <si>
    <t>Как беспилотный транспорт меняет облик наших городов</t>
  </si>
  <si>
    <t>Why are Some Recommendation Systems Preferred?</t>
  </si>
  <si>
    <t>Форсайт для карьерного развития</t>
  </si>
  <si>
    <t>Финтех как фактор трансформации глобальных финансовых рынков</t>
  </si>
  <si>
    <t>Налоговое стимулирование конкурентоспособности телекоммуникационных компаний</t>
  </si>
  <si>
    <t>Интерактивные приложения с искусственным интеллектом: факторы доверия пользователей</t>
  </si>
  <si>
    <t>Fintech as a Precondition for Transformations on Global Financial Markets</t>
  </si>
  <si>
    <t>Fintech as a Precondition of Transformations in Global Financial Markets.</t>
  </si>
  <si>
    <t>Что влияет на пользовательский выбор системы персонализированных рекомендаций</t>
  </si>
  <si>
    <t>Влияние пандемии COVID-19 на устойчивость экономики Китая</t>
  </si>
  <si>
    <t>How COVID-19 Pandemics influences Chinese Economic Sustainability</t>
  </si>
  <si>
    <t>КАРТИРОВАНИЕ ТЕХНОЛОГИЧЕСКОГО ЛАНДШАФТА ДЛЯ УСКОРЕНИЯ ИННОВАЦИЙ</t>
  </si>
  <si>
    <t>Перспективы фарминдустрии: аддитивное производство средств целевой доставки препаратов</t>
  </si>
  <si>
    <t>Цели, содержание и практика технологического сканирования</t>
  </si>
  <si>
    <t>Обучение стратегической разведкe в университете для достижения профессионального успеха</t>
  </si>
  <si>
    <t>Смена приоритетов в стратегическом планировании — от общенационального к территориальному уровню</t>
  </si>
  <si>
    <t>The Business Anticipatory Ecosystem outside the “First World”: Competitive Intelligence in South Africa</t>
  </si>
  <si>
    <t>Конкурентная разведка глазами профессионалов</t>
  </si>
  <si>
    <t>Экосистема мониторинга бизнес-среды за пределами «первого мира»: кейс ЮАР</t>
  </si>
  <si>
    <t>Новейшие практики информационной поддержки стратегий повышения конкурентоспособности</t>
  </si>
  <si>
    <t>Strategic Intelligence Teaching to Leverage Professional Success</t>
  </si>
  <si>
    <t>Системный подход как основа стратегического управления</t>
  </si>
  <si>
    <t>Неопределенность, знания и варианты будущего в Форсайт-исследованиях (на примере Индустрии 4.0)</t>
  </si>
  <si>
    <t>Индустрия 4.0 как фактор конкурентоспособности компаний в условиях постпереходной экономики</t>
  </si>
  <si>
    <t>Кооперационные стратегии предприятий в эпоху открытых инноваций: пространственные и временные аспекты</t>
  </si>
  <si>
    <t>СТРАТЕГИИ УПРАВЛЕНИЯ ДИНАМИЧЕСКОЙ СЛОЖНОСТЬЮ</t>
  </si>
  <si>
    <t>Модель «всеобщего выигрыша» как комплексный ответ на вызовы корпоративного управления в сетевом обществе</t>
  </si>
  <si>
    <t>ОТКРЫТАЯ НАУКА И ОТКРЫТЫЕ ИННОВАЦИИ: НОВЫЕ ВОЗМОЖНОСТИ ДЛЯ СТРАН С ПЕРЕХОДНОЙ ЭКОНОМИКОЙ</t>
  </si>
  <si>
    <t>Системные преобразования для бизнеса в контексте перехода к экономике замкнутого цикла</t>
  </si>
  <si>
    <t>Начинающие исследователи между хищническими изданиями и высокими академическими стандартами: выбор публикационных стратегий</t>
  </si>
  <si>
    <t>Competitiveness of Small and medium businesses and competitive pressure in the manufacturing Industry</t>
  </si>
  <si>
    <t>ТЕХНОЛОГИЧЕСКИЙ ФОРСАЙТ И СБАЛАНСИРОВАННОЕ ИННОВАЦИОННОЕ РАЗВИТИЕ C ТОЧКИ ЗРЕНИЯ СЛОЖНЫХ ДИНАМИЧЕСКИХ СИСТЕМ</t>
  </si>
  <si>
    <t>Foresight for career Development</t>
  </si>
  <si>
    <t>The Impact of R&amp;D Expenditure upon the Efficiency of M&amp;A Deals with Hi-Tech Companies</t>
  </si>
  <si>
    <t>МАКРОАНАЛИЗ И ПРОГНОЗ ПЕРСПЕКТИВ РАСПРОСТРАНЕНИЯ ЭЛЕКТРОМОБИЛЕЙ</t>
  </si>
  <si>
    <t>Стратегии зеленой экономики в Китае</t>
  </si>
  <si>
    <t>КОРПОРАТИВНЫЕ ПРАКТИКИ «ЗЕЛЕНОГО» МЕНЕДЖМЕНТА ЧЕЛОВЕЧЕСКИХ РЕСУРСОВ</t>
  </si>
  <si>
    <t>Влияние затрат на исследования и разработки на эффективность сделок слияния и поглощения с высокотехнологичными компаниями</t>
  </si>
  <si>
    <t>ПОСЛЕДСТВИЯ КОРОНАКРИЗИСА ДЛЯ СЕКТОРА ИНТЕЛЛЕКТУАЛЬНЫХ УСЛУГ</t>
  </si>
  <si>
    <t>Распространение гигномики: тренды и эффекты</t>
  </si>
  <si>
    <t>ФОРСАЙТ ДЛЯ МАЛЫХ И СРЕДНИХ КОМПАНИЙ В КОНТЕКСТЕ ЭКОНОМИКИ ЗАМКНУТОГО ЦИКЛА</t>
  </si>
  <si>
    <t>ПРОГНОЗИРОВАНИЕ ТЕХНОЛОГИЧЕСКИХ ТРЕНДОВ С УЧЕТОМ ВРЕМЕННЫХ ИНТЕРВАЛОВ МЕЖДУ НАУЧНЫМИ ПУБЛИКАЦИЯМИ И ПАТЕНТАМИ</t>
  </si>
  <si>
    <t>ПОГРУЖЕНИЕ В КРЕАТИВНОЕ БУДУЩЕЕ КАК ОСНОВА ДЛЯ РАЗРАБОТКИ РЕКОМЕНДАЦИЙ В РАМКАХ ПОИСКОВЫХ СЦЕНАРИЕВ</t>
  </si>
  <si>
    <t>МЕТОДОЛОГИЯ ФОРСАЙТА И ДОРОЖНЫХ КАРТ - ТЕНДЕНЦИИ И ПЕРСПЕКТИВЫ</t>
  </si>
  <si>
    <t>Forecasting Technology Trends through the Gap Between Science and Technology: The Сase of Software as an E-Commerce Service</t>
  </si>
  <si>
    <t>Why and How the Value of Science-Based Firms Violates Financial Theory: Implications for Policy and Governance</t>
  </si>
  <si>
    <t>Дорожные карты в эпоху неопределенности: как интегрировать аналитику данных с экспертными знаниями</t>
  </si>
  <si>
    <t>XVI Апрельская Международная научная конференция по проблемам развития экономики и общества. Секция «Наука и инновации» (8-10 апреля 2015)</t>
  </si>
  <si>
    <t>ПЕРСПЕКТИВЫ СОПРОИЗВОДСТВА ЗНАНИЙ ДЛЯ ПЛАНИРОВАНИЯ УМНОЙ ИНФРАСТРУКТУРЫ</t>
  </si>
  <si>
    <t>ГИБКАЯ РАЗРАБОТКА ДОРОЖНЫХ КАРТ КАК АДАПТИВНЫЙ ПОДХОД К ТЕХНОЛОГИЧЕСКОМУ ФОРСАЙТУ</t>
  </si>
  <si>
    <t>Трансформация ценности в инновационных бизнес-моделях: пример фармацевтической индустрии</t>
  </si>
  <si>
    <t>Инновационные экосистемы в автомобильной индустрии между возможностями и ограничениями</t>
  </si>
  <si>
    <t>МУЛЬТИПЛАТФОРМЕННЫЙ ПОДХОД К УПРАВЛЕНИЮ ПРОБЛЕМАМИ</t>
  </si>
  <si>
    <t>Анализ инновационной политики и стратегии развития Ирана</t>
  </si>
  <si>
    <t>Identification of the Technology Frontier</t>
  </si>
  <si>
    <t>Идентификация технологического фронтира</t>
  </si>
  <si>
    <t>Обучение Форсайт-компетенциям и его интеграция в университетские программы</t>
  </si>
  <si>
    <t>Why are Some recommendation systems Preferred</t>
  </si>
  <si>
    <t>Intellectual Capital and Its Impact on the Financial Performance of Russian Manufacturing Companies</t>
  </si>
  <si>
    <t>COVID-19 as Industry Forcing Function: Challenges for Entrepreneurship in the Post-Pandemic Future</t>
  </si>
  <si>
    <t>Crisis as a Challenge and Enabler for Entrepreneurship: Lessons from the Pandemic</t>
  </si>
  <si>
    <t>Cohesion and Competition of Europe: Innovation Policy from the Perspective of Networks and Entropy</t>
  </si>
  <si>
    <t>Knowledge-Intensive Business Services in Russia: 2014–2015 Crisis Aftermath</t>
  </si>
  <si>
    <t>Форсайт</t>
  </si>
  <si>
    <t>A4339445160</t>
  </si>
  <si>
    <t>A2885210810</t>
  </si>
  <si>
    <t>A2408584087</t>
  </si>
  <si>
    <t>A2259413666</t>
  </si>
  <si>
    <t>A4357866443</t>
  </si>
  <si>
    <t>A2417171164</t>
  </si>
  <si>
    <t>A4341423316</t>
  </si>
  <si>
    <t>A4347099889</t>
  </si>
  <si>
    <t>A4347309970</t>
  </si>
  <si>
    <t>A4331209176</t>
  </si>
  <si>
    <t>A2004622856</t>
  </si>
  <si>
    <t>A2584075940</t>
  </si>
  <si>
    <t>A3035667253</t>
  </si>
  <si>
    <t>A1484841337</t>
  </si>
  <si>
    <t>A4331229280</t>
  </si>
  <si>
    <t>A2955271031</t>
  </si>
  <si>
    <t>A4341020149</t>
  </si>
  <si>
    <t>A4342508483</t>
  </si>
  <si>
    <t>A4347740124</t>
  </si>
  <si>
    <t>A4343556764</t>
  </si>
  <si>
    <t>A4334633791</t>
  </si>
  <si>
    <t>A4353775217</t>
  </si>
  <si>
    <t>A2138432176</t>
  </si>
  <si>
    <t>A4332209337</t>
  </si>
  <si>
    <t>A4330836890</t>
  </si>
  <si>
    <t>A4353508476</t>
  </si>
  <si>
    <t>A2617412228</t>
  </si>
  <si>
    <t>A1716080903</t>
  </si>
  <si>
    <t>A4358619290</t>
  </si>
  <si>
    <t>A4357272063</t>
  </si>
  <si>
    <t>A2937786354</t>
  </si>
  <si>
    <t>A4342080293</t>
  </si>
  <si>
    <t>A4347861528</t>
  </si>
  <si>
    <t>A2477948461</t>
  </si>
  <si>
    <t>A4347084802</t>
  </si>
  <si>
    <t>A4334599965</t>
  </si>
  <si>
    <t>A4347022558</t>
  </si>
  <si>
    <t>A3123924403</t>
  </si>
  <si>
    <t>A2006861244</t>
  </si>
  <si>
    <t>A2093464361</t>
  </si>
  <si>
    <t>A4331001902</t>
  </si>
  <si>
    <t>A4355111184</t>
  </si>
  <si>
    <t>A2950173092</t>
  </si>
  <si>
    <t>A4332851658</t>
  </si>
  <si>
    <t>A4359384569</t>
  </si>
  <si>
    <t>A1916140525</t>
  </si>
  <si>
    <t>A4348002954</t>
  </si>
  <si>
    <t>A4356372439</t>
  </si>
  <si>
    <t>A4355590222</t>
  </si>
  <si>
    <t>A4330473761</t>
  </si>
  <si>
    <t>A4336573367</t>
  </si>
  <si>
    <t>A4358925032</t>
  </si>
  <si>
    <t>A2477952067</t>
  </si>
  <si>
    <t>A3177115616</t>
  </si>
  <si>
    <t>A4343618932</t>
  </si>
  <si>
    <t>A4332011935</t>
  </si>
  <si>
    <t>A4342329717</t>
  </si>
  <si>
    <t>A4330481902</t>
  </si>
  <si>
    <t>A4358412842</t>
  </si>
  <si>
    <t>A885762971</t>
  </si>
  <si>
    <t>A4355161003</t>
  </si>
  <si>
    <t>A4335682558</t>
  </si>
  <si>
    <t>A4359679736</t>
  </si>
  <si>
    <t>A4349939367</t>
  </si>
  <si>
    <t>A2899432401</t>
  </si>
  <si>
    <t>A4357124210</t>
  </si>
  <si>
    <t>A2660033930</t>
  </si>
  <si>
    <t>A4343917767</t>
  </si>
  <si>
    <t>A4359239680</t>
  </si>
  <si>
    <t>A4335478917</t>
  </si>
  <si>
    <t>A2930522422</t>
  </si>
  <si>
    <t>A4357511736</t>
  </si>
  <si>
    <t>A2038189752</t>
  </si>
  <si>
    <t>A2462247311</t>
  </si>
  <si>
    <t>A2114610213</t>
  </si>
  <si>
    <t>A2609868616</t>
  </si>
  <si>
    <t>A4347752781</t>
  </si>
  <si>
    <t>A2611072437</t>
  </si>
  <si>
    <t>A4343072023</t>
  </si>
  <si>
    <t>A3024565142</t>
  </si>
  <si>
    <t>A2279771408</t>
  </si>
  <si>
    <t>A1974212531</t>
  </si>
  <si>
    <t>A4344250985</t>
  </si>
  <si>
    <t>A4338384042</t>
  </si>
  <si>
    <t>A4359425230</t>
  </si>
  <si>
    <t>A4336897817</t>
  </si>
  <si>
    <t>A2979654184</t>
  </si>
  <si>
    <t>A4338951350</t>
  </si>
  <si>
    <t>A2810660575</t>
  </si>
  <si>
    <t>A2412307362</t>
  </si>
  <si>
    <t>A4337264886</t>
  </si>
  <si>
    <t>A3091787058</t>
  </si>
  <si>
    <t>A4359262936</t>
  </si>
  <si>
    <t>A4350305815</t>
  </si>
  <si>
    <t>A4335666910</t>
  </si>
  <si>
    <t>A4335290108</t>
  </si>
  <si>
    <t>A1825840258</t>
  </si>
  <si>
    <t>A4352267183</t>
  </si>
  <si>
    <t>A4354849174</t>
  </si>
  <si>
    <t>A3201476231</t>
  </si>
  <si>
    <t>A4350440532</t>
  </si>
  <si>
    <t>A3204237195</t>
  </si>
  <si>
    <t>A4332994571</t>
  </si>
  <si>
    <t>A4357915678</t>
  </si>
  <si>
    <t>A4332009453</t>
  </si>
  <si>
    <t>A4351374562</t>
  </si>
  <si>
    <t>A2684429378</t>
  </si>
  <si>
    <t>A4331930993</t>
  </si>
  <si>
    <t>A2252491484</t>
  </si>
  <si>
    <t>A2733504390</t>
  </si>
  <si>
    <t>A4349891719</t>
  </si>
  <si>
    <t>A2576036780</t>
  </si>
  <si>
    <t>A4333346874</t>
  </si>
  <si>
    <t>A1984987566</t>
  </si>
  <si>
    <t>A4350483263</t>
  </si>
  <si>
    <t>A4353150878</t>
  </si>
  <si>
    <t>A1937874663</t>
  </si>
  <si>
    <t>A2602150728</t>
  </si>
  <si>
    <t>A4337052386</t>
  </si>
  <si>
    <t>A4354639402</t>
  </si>
  <si>
    <t>A4354774412</t>
  </si>
  <si>
    <t>A4355120305</t>
  </si>
  <si>
    <t>A4264956186</t>
  </si>
  <si>
    <t>A3000712349</t>
  </si>
  <si>
    <t>A4337455337</t>
  </si>
  <si>
    <t>A2946770037</t>
  </si>
  <si>
    <t>A3002049236</t>
  </si>
  <si>
    <t>A4342908690</t>
  </si>
  <si>
    <t>A3089210766</t>
  </si>
  <si>
    <t>A3088005572</t>
  </si>
  <si>
    <t>A4354758910</t>
  </si>
  <si>
    <t>A4359324271</t>
  </si>
  <si>
    <t>A4351436155</t>
  </si>
  <si>
    <t>A2131795174</t>
  </si>
  <si>
    <t>A4355267645</t>
  </si>
  <si>
    <t>A4359233698</t>
  </si>
  <si>
    <t>A4333713912</t>
  </si>
  <si>
    <t>A4355793532</t>
  </si>
  <si>
    <t>A3189847385</t>
  </si>
  <si>
    <t>A4336088095</t>
  </si>
  <si>
    <t>A4333714566</t>
  </si>
  <si>
    <t>A4346841788</t>
  </si>
  <si>
    <t>A4347759292</t>
  </si>
  <si>
    <t>A4338761293</t>
  </si>
  <si>
    <t>A4340851304</t>
  </si>
  <si>
    <t>A2518132321</t>
  </si>
  <si>
    <t>A4345356978</t>
  </si>
  <si>
    <t>A4348425025</t>
  </si>
  <si>
    <t>A2511565656</t>
  </si>
  <si>
    <t>A4340601277</t>
  </si>
  <si>
    <t>A2562398434</t>
  </si>
  <si>
    <t>A4356829421</t>
  </si>
  <si>
    <t>A2598568787</t>
  </si>
  <si>
    <t>A2654317162</t>
  </si>
  <si>
    <t>A4344550119</t>
  </si>
  <si>
    <t>A4336920133</t>
  </si>
  <si>
    <t>A4336173285</t>
  </si>
  <si>
    <t>A2892292203</t>
  </si>
  <si>
    <t>A4350867455</t>
  </si>
  <si>
    <t>A2348790366</t>
  </si>
  <si>
    <t>A4347610592</t>
  </si>
  <si>
    <t>A2495421013</t>
  </si>
  <si>
    <t>A4341134458</t>
  </si>
  <si>
    <t>A2742610732</t>
  </si>
  <si>
    <t>A2520298189</t>
  </si>
  <si>
    <t>A4335923145</t>
  </si>
  <si>
    <t>A2619243938</t>
  </si>
  <si>
    <t>A4356144443</t>
  </si>
  <si>
    <t>A4336069205</t>
  </si>
  <si>
    <t>A4351665117</t>
  </si>
  <si>
    <t>A2794556999</t>
  </si>
  <si>
    <t>A2725622444</t>
  </si>
  <si>
    <t>A4340747105</t>
  </si>
  <si>
    <t>A3124426595</t>
  </si>
  <si>
    <t>A2556676302</t>
  </si>
  <si>
    <t>A4352218561</t>
  </si>
  <si>
    <t>A4331741812</t>
  </si>
  <si>
    <t>A4342272037</t>
  </si>
  <si>
    <t>A3122620771</t>
  </si>
  <si>
    <t>A4348969996</t>
  </si>
  <si>
    <t>A4349187740</t>
  </si>
  <si>
    <t>A2563232569</t>
  </si>
  <si>
    <t>A2626894809</t>
  </si>
  <si>
    <t>A2014102413</t>
  </si>
  <si>
    <t>A2745786731</t>
  </si>
  <si>
    <t>A2734201004</t>
  </si>
  <si>
    <t>A2727474791</t>
  </si>
  <si>
    <t>A2936718995</t>
  </si>
  <si>
    <t>A2731378297</t>
  </si>
  <si>
    <t>A4354711195</t>
  </si>
  <si>
    <t>A2755212599</t>
  </si>
  <si>
    <t>A2892462643</t>
  </si>
  <si>
    <t>A2758775933</t>
  </si>
  <si>
    <t>A2758462360</t>
  </si>
  <si>
    <t>A2954760141</t>
  </si>
  <si>
    <t>A2760215300</t>
  </si>
  <si>
    <t>A4336779744</t>
  </si>
  <si>
    <t>A4338911651</t>
  </si>
  <si>
    <t>A2775877592</t>
  </si>
  <si>
    <t>A4341771969</t>
  </si>
  <si>
    <t>A2779334049</t>
  </si>
  <si>
    <t>A2776557441</t>
  </si>
  <si>
    <t>A2776358591</t>
  </si>
  <si>
    <t>A4343650209</t>
  </si>
  <si>
    <t>A4333743235</t>
  </si>
  <si>
    <t>A2777204273</t>
  </si>
  <si>
    <t>A4335856097</t>
  </si>
  <si>
    <t>A2782157004</t>
  </si>
  <si>
    <t>A4332114223</t>
  </si>
  <si>
    <t>A4335283081</t>
  </si>
  <si>
    <t>A2955864334</t>
  </si>
  <si>
    <t>A2795308023</t>
  </si>
  <si>
    <t>A4350803434</t>
  </si>
  <si>
    <t>A4354479346</t>
  </si>
  <si>
    <t>A3144664066</t>
  </si>
  <si>
    <t>A2890110466</t>
  </si>
  <si>
    <t>A2889853088</t>
  </si>
  <si>
    <t>A4331844310</t>
  </si>
  <si>
    <t>A4340290241</t>
  </si>
  <si>
    <t>A2893657206</t>
  </si>
  <si>
    <t>A2894521194</t>
  </si>
  <si>
    <t>A2894050318</t>
  </si>
  <si>
    <t>A4331720808</t>
  </si>
  <si>
    <t>A4336720179</t>
  </si>
  <si>
    <t>A2802422592</t>
  </si>
  <si>
    <t>A2950641322</t>
  </si>
  <si>
    <t>A2953114675</t>
  </si>
  <si>
    <t>A2909868451</t>
  </si>
  <si>
    <t>A4336637187</t>
  </si>
  <si>
    <t>A4347579324</t>
  </si>
  <si>
    <t>A4338550335</t>
  </si>
  <si>
    <t>A2949273401</t>
  </si>
  <si>
    <t>A2934035464</t>
  </si>
  <si>
    <t>A2944002348</t>
  </si>
  <si>
    <t>A2945486665</t>
  </si>
  <si>
    <t>A3088703409</t>
  </si>
  <si>
    <t>A4355171166</t>
  </si>
  <si>
    <t>A2952794410</t>
  </si>
  <si>
    <t>A4334524634</t>
  </si>
  <si>
    <t>A2953836627</t>
  </si>
  <si>
    <t>A3010434215</t>
  </si>
  <si>
    <t>A4334732624</t>
  </si>
  <si>
    <t>A2955702969</t>
  </si>
  <si>
    <t>A4334600226</t>
  </si>
  <si>
    <t>A2954949528</t>
  </si>
  <si>
    <t>A2978440880</t>
  </si>
  <si>
    <t>A4355453275</t>
  </si>
  <si>
    <t>A4344778885</t>
  </si>
  <si>
    <t>A2727987607</t>
  </si>
  <si>
    <t>A4349726146</t>
  </si>
  <si>
    <t>A2987993301</t>
  </si>
  <si>
    <t>A2992965518</t>
  </si>
  <si>
    <t>A4352326792</t>
  </si>
  <si>
    <t>A4338937085</t>
  </si>
  <si>
    <t>A2993795558</t>
  </si>
  <si>
    <t>A4335750770</t>
  </si>
  <si>
    <t>A2992952466</t>
  </si>
  <si>
    <t>A4351498989</t>
  </si>
  <si>
    <t>A3014303913</t>
  </si>
  <si>
    <t>A3026256680</t>
  </si>
  <si>
    <t>A3029536026</t>
  </si>
  <si>
    <t>A3027009944</t>
  </si>
  <si>
    <t>A4338582012</t>
  </si>
  <si>
    <t>A3176286689</t>
  </si>
  <si>
    <t>A4335059496</t>
  </si>
  <si>
    <t>A4332241160</t>
  </si>
  <si>
    <t>A4332050672</t>
  </si>
  <si>
    <t>A3034315770</t>
  </si>
  <si>
    <t>A4337441315</t>
  </si>
  <si>
    <t>A4351865969</t>
  </si>
  <si>
    <t>A2799408325</t>
  </si>
  <si>
    <t>A3044278622</t>
  </si>
  <si>
    <t>A3082745244</t>
  </si>
  <si>
    <t>A3087826786</t>
  </si>
  <si>
    <t>A3088245947</t>
  </si>
  <si>
    <t>A3089443679</t>
  </si>
  <si>
    <t>A3089093279</t>
  </si>
  <si>
    <t>A2423233051</t>
  </si>
  <si>
    <t>A4331734826</t>
  </si>
  <si>
    <t>A4347736051</t>
  </si>
  <si>
    <t>A3160387873</t>
  </si>
  <si>
    <t>A3090165685</t>
  </si>
  <si>
    <t>A4333134605</t>
  </si>
  <si>
    <t>A4342071431</t>
  </si>
  <si>
    <t>A2944225813</t>
  </si>
  <si>
    <t>A4342768257</t>
  </si>
  <si>
    <t>A4344540967</t>
  </si>
  <si>
    <t>A3112233739</t>
  </si>
  <si>
    <t>A2345390905</t>
  </si>
  <si>
    <t>A4344365420</t>
  </si>
  <si>
    <t>A4342324435</t>
  </si>
  <si>
    <t>A4342680667</t>
  </si>
  <si>
    <t>A4337818742</t>
  </si>
  <si>
    <t>A2911493560</t>
  </si>
  <si>
    <t>A3172131028</t>
  </si>
  <si>
    <t>A4359212366</t>
  </si>
  <si>
    <t>A3156382771</t>
  </si>
  <si>
    <t>A4335772610</t>
  </si>
  <si>
    <t>A3182602836</t>
  </si>
  <si>
    <t>A3164172945</t>
  </si>
  <si>
    <t>A4339971719</t>
  </si>
  <si>
    <t>A3195640639</t>
  </si>
  <si>
    <t>A3176674913</t>
  </si>
  <si>
    <t>A4332093245</t>
  </si>
  <si>
    <t>A3193605894</t>
  </si>
  <si>
    <t>A3168048577</t>
  </si>
  <si>
    <t>A3200749469</t>
  </si>
  <si>
    <t>A3193612426</t>
  </si>
  <si>
    <t>A4346855543</t>
  </si>
  <si>
    <t>A3199982265</t>
  </si>
  <si>
    <t>A3203501269</t>
  </si>
  <si>
    <t>A3201745117</t>
  </si>
  <si>
    <t>A4353151765</t>
  </si>
  <si>
    <t>A4332884059</t>
  </si>
  <si>
    <t>A3211739970</t>
  </si>
  <si>
    <t>A4354878973</t>
  </si>
  <si>
    <t>A4342560506</t>
  </si>
  <si>
    <t>A2587995838</t>
  </si>
  <si>
    <t>A4346009578</t>
  </si>
  <si>
    <t>A2024676981</t>
  </si>
  <si>
    <t>A4300626816</t>
  </si>
  <si>
    <t>A4306079311</t>
  </si>
  <si>
    <t>Elias G Carayannis</t>
  </si>
  <si>
    <t>Sandrine Kergroach</t>
  </si>
  <si>
    <t>Maximilian Unger</t>
  </si>
  <si>
    <t>Yaroslav Kuzminov</t>
  </si>
  <si>
    <t>Stepan Zemtsov</t>
  </si>
  <si>
    <t>Andrew Keisner</t>
  </si>
  <si>
    <t>Evgeniy Kutsenko</t>
  </si>
  <si>
    <t>Paola Rücker Schaeffer</t>
  </si>
  <si>
    <t>Jonathan Calof</t>
  </si>
  <si>
    <t>Alina Sorgner</t>
  </si>
  <si>
    <t>Mika Raunio</t>
  </si>
  <si>
    <t>Marina Boykova</t>
  </si>
  <si>
    <t>Maksim Vasiev</t>
  </si>
  <si>
    <t>Joanna Ejdys</t>
  </si>
  <si>
    <t>Mario Cervantes</t>
  </si>
  <si>
    <t>Marta Getts</t>
  </si>
  <si>
    <t>Jana Hojnik</t>
  </si>
  <si>
    <t>Ricardo da Fonseca</t>
  </si>
  <si>
    <t>Мамаева Татьяна</t>
  </si>
  <si>
    <t>Marisela Rodríguez</t>
  </si>
  <si>
    <t>Natalia Davidson</t>
  </si>
  <si>
    <t>Sergey Filippov</t>
  </si>
  <si>
    <t>Ina Krause</t>
  </si>
  <si>
    <t>Marta Götz</t>
  </si>
  <si>
    <t>Azley Abd Razak</t>
  </si>
  <si>
    <t>Vladimir A Makarov</t>
  </si>
  <si>
    <t>Dieter Bögenhold</t>
  </si>
  <si>
    <t>Annamária Inzelt</t>
  </si>
  <si>
    <t>Alexander Chepurenko</t>
  </si>
  <si>
    <t>Nadezhda Zamyatina</t>
  </si>
  <si>
    <t>Anna Bosch</t>
  </si>
  <si>
    <t>Alexey Ponomarev</t>
  </si>
  <si>
    <t>Attila Havas</t>
  </si>
  <si>
    <t>Irina Dezhina</t>
  </si>
  <si>
    <t>Andrey Gnidchenko</t>
  </si>
  <si>
    <t>Александр Юрьевич Лавриненко</t>
  </si>
  <si>
    <t>Michael Fritsch</t>
  </si>
  <si>
    <t>Evgeny Kutsenko</t>
  </si>
  <si>
    <t>David Henriques</t>
  </si>
  <si>
    <t>Helena Knyazeva</t>
  </si>
  <si>
    <t>Karina Bogatyreva</t>
  </si>
  <si>
    <t>Seong-Soo Kim</t>
  </si>
  <si>
    <t>Julia Trabskaja</t>
  </si>
  <si>
    <t>Fred Gault</t>
  </si>
  <si>
    <t>Sergey V Makarov</t>
  </si>
  <si>
    <t>Konstantin Fursov</t>
  </si>
  <si>
    <t>D L Abuzyarova</t>
  </si>
  <si>
    <t>Galina Shirokova</t>
  </si>
  <si>
    <t>Anna Kononiuk</t>
  </si>
  <si>
    <t>Klaus Mainzer</t>
  </si>
  <si>
    <t>Andrzej Magruk</t>
  </si>
  <si>
    <t>Joanna Chataway</t>
  </si>
  <si>
    <t>Epaminondas Christofilopoulos</t>
  </si>
  <si>
    <t>Farzaneh Eghbal</t>
  </si>
  <si>
    <t>Eugenia Perez Vico</t>
  </si>
  <si>
    <t>Natalia Shmatko</t>
  </si>
  <si>
    <t>Przemysław Zbierowski</t>
  </si>
  <si>
    <t>Victoria Golikova</t>
  </si>
  <si>
    <t>Sergey Roshchin</t>
  </si>
  <si>
    <t>Daniel Martínez-Ávila</t>
  </si>
  <si>
    <t>Nilanjan Banik</t>
  </si>
  <si>
    <t>Yusuke Kishita</t>
  </si>
  <si>
    <t>Natalia P Bondarenko</t>
  </si>
  <si>
    <t>Carol Leonard</t>
  </si>
  <si>
    <t>Yusdi Anra</t>
  </si>
  <si>
    <t>Elena Zavyalova</t>
  </si>
  <si>
    <t>Ali Shamsi</t>
  </si>
  <si>
    <t>Vladimir Milovidov</t>
  </si>
  <si>
    <t>Тимофей Александрович Нестик</t>
  </si>
  <si>
    <t>Jonathan D Linton</t>
  </si>
  <si>
    <t>Pur Purwanto</t>
  </si>
  <si>
    <t>Alina Steblyanskaya</t>
  </si>
  <si>
    <t>Siri Brorstad Borlaug</t>
  </si>
  <si>
    <t>Dmitry Devyatkin</t>
  </si>
  <si>
    <t>Vincenzo Bianco</t>
  </si>
  <si>
    <t>Gilbert Ahamer</t>
  </si>
  <si>
    <t>Jürgen-Friedrich Hake</t>
  </si>
  <si>
    <t>Manfred Spiesberger</t>
  </si>
  <si>
    <t>Симачев Юрий Вячеславович</t>
  </si>
  <si>
    <t>Byung Gwun Choy</t>
  </si>
  <si>
    <t>Alina Pishnyak</t>
  </si>
  <si>
    <t>Glenn Parry</t>
  </si>
  <si>
    <t>Olga Obraztsova</t>
  </si>
  <si>
    <t>Mikhail Kuzyk</t>
  </si>
  <si>
    <t>Duc Le</t>
  </si>
  <si>
    <t>Igor Gurkov</t>
  </si>
  <si>
    <t>Daniel M Sklarew</t>
  </si>
  <si>
    <t>Marina Solesvik</t>
  </si>
  <si>
    <t>Margarita Zobnina</t>
  </si>
  <si>
    <t>A M Zomarev</t>
  </si>
  <si>
    <t>Ian Miles</t>
  </si>
  <si>
    <t>Aleksandr Kalita</t>
  </si>
  <si>
    <t>Henri Dou</t>
  </si>
  <si>
    <t>Joachim Paap</t>
  </si>
  <si>
    <t>ЯИ Кузьминов</t>
  </si>
  <si>
    <t>Hans Wiesmeth</t>
  </si>
  <si>
    <t>Alexey Bereznoy</t>
  </si>
  <si>
    <t>Ardeshir Bazrkar</t>
  </si>
  <si>
    <t>David Nicholas</t>
  </si>
  <si>
    <t>Julia Turovets</t>
  </si>
  <si>
    <t>Denis Klimanov</t>
  </si>
  <si>
    <t>Rikardo da Sil'va</t>
  </si>
  <si>
    <t>Мария Сергеевна Добрякова</t>
  </si>
  <si>
    <t>Pavel Sorokin</t>
  </si>
  <si>
    <t>Yuri Simachev</t>
  </si>
  <si>
    <t>Alexandra Moskovskaya</t>
  </si>
  <si>
    <t>Aleme Keikha</t>
  </si>
  <si>
    <t>Marisela Rodríguez-Salvador</t>
  </si>
  <si>
    <t>Alexander Malanichev</t>
  </si>
  <si>
    <t>Nurcan Kilinc Ata</t>
  </si>
  <si>
    <t>Inga A Ivanova</t>
  </si>
  <si>
    <t>Dmitry A Grushevenko</t>
  </si>
  <si>
    <t>Hillary Swanson</t>
  </si>
  <si>
    <t>N Molotja</t>
  </si>
  <si>
    <t>Silvia Carnini Pulino</t>
  </si>
  <si>
    <t>Ekaterina Streltsova</t>
  </si>
  <si>
    <t>Nisha Sewdass</t>
  </si>
  <si>
    <t>Valeriya Vlasova</t>
  </si>
  <si>
    <t>Sergey M Plaksin</t>
  </si>
  <si>
    <t>Tugrul U Daim</t>
  </si>
  <si>
    <t>Ondřej Dvouletý</t>
  </si>
  <si>
    <t>Jeong-Dong Lee</t>
  </si>
  <si>
    <t>Jutta Gunther</t>
  </si>
  <si>
    <t>Богатырёва Карина</t>
  </si>
  <si>
    <t>Hein Roelfsema</t>
  </si>
  <si>
    <t>А Бош</t>
  </si>
  <si>
    <t>Alise Mactama</t>
  </si>
  <si>
    <t>Éva Komlósi</t>
  </si>
  <si>
    <t>Bradford Ashton</t>
  </si>
  <si>
    <t>Jessica Mancilla-de-la-Cruz</t>
  </si>
  <si>
    <t>Ewan O'Sullivan</t>
  </si>
  <si>
    <t>Gulnara Abdrakhmanova</t>
  </si>
  <si>
    <t>Wendy Anzules-Falcones</t>
  </si>
  <si>
    <t>Hisashi Murata</t>
  </si>
  <si>
    <t>Guillermo Velasco</t>
  </si>
  <si>
    <t>Sungjoo Lee</t>
  </si>
  <si>
    <t>Rúben Pereira</t>
  </si>
  <si>
    <t>Marta Gancarczyk</t>
  </si>
  <si>
    <t>Kiarash Fartash</t>
  </si>
  <si>
    <t>Vladimir L Kharitonov</t>
  </si>
  <si>
    <t>Александр Юльевич Чепуренко</t>
  </si>
  <si>
    <t>М А Родригес</t>
  </si>
  <si>
    <t>ВМ Харитонов</t>
  </si>
  <si>
    <t>Джонатан Линтон</t>
  </si>
  <si>
    <t>Чои Мунджунг</t>
  </si>
  <si>
    <t>Галина Викторовна Широкова</t>
  </si>
  <si>
    <t>А Н Стрелецкий</t>
  </si>
  <si>
    <t>Пурис Анастассиос</t>
  </si>
  <si>
    <t>ВВ Белоусова</t>
  </si>
  <si>
    <t>А Адегбиле</t>
  </si>
  <si>
    <t>Ким Джисун</t>
  </si>
  <si>
    <t>Кристофер Марк Дэвис</t>
  </si>
  <si>
    <t>Агаджанян Александр</t>
  </si>
  <si>
    <t>ИГ Дежина</t>
  </si>
  <si>
    <t>С А Макаров</t>
  </si>
  <si>
    <t>Элиас Г Караяннис</t>
  </si>
  <si>
    <t>А А Гнидченко</t>
  </si>
  <si>
    <t>Разак А Абд</t>
  </si>
  <si>
    <t>Джонатан Кэлоф</t>
  </si>
  <si>
    <t>Г Пэрри</t>
  </si>
  <si>
    <t>Хаваш Аттила</t>
  </si>
  <si>
    <t>Э Кайснер</t>
  </si>
  <si>
    <t>Фурсов Константин</t>
  </si>
  <si>
    <t>Земцов Степан</t>
  </si>
  <si>
    <t>Валерий Леонидович Макаров</t>
  </si>
  <si>
    <t>СП Земцов</t>
  </si>
  <si>
    <t>К Леонард</t>
  </si>
  <si>
    <t>М Родригез-Сальвадор</t>
  </si>
  <si>
    <t>Кристофилопулос Эпаминондас</t>
  </si>
  <si>
    <t>Надежда Юрьевна Замятина</t>
  </si>
  <si>
    <t>М Мадвар</t>
  </si>
  <si>
    <t>Mohammad Dehghani Madvar</t>
  </si>
  <si>
    <t>Larisa Smirnykh</t>
  </si>
  <si>
    <t>Лариса Смирных</t>
  </si>
  <si>
    <t>У Четинкая</t>
  </si>
  <si>
    <t>ТК Андреева</t>
  </si>
  <si>
    <t>СИ Бредихин</t>
  </si>
  <si>
    <t>Ю Гюнтер</t>
  </si>
  <si>
    <t>Кейха Алеме</t>
  </si>
  <si>
    <t>Марио Сервантес</t>
  </si>
  <si>
    <t>Н Вонортас</t>
  </si>
  <si>
    <t>Е Перез-Вико</t>
  </si>
  <si>
    <t>Д Чэтэуэй</t>
  </si>
  <si>
    <t>Анра Юсди</t>
  </si>
  <si>
    <t>Ф Эгбаль</t>
  </si>
  <si>
    <t>Н Н Шматко</t>
  </si>
  <si>
    <t>Унгер Максимилиан</t>
  </si>
  <si>
    <t>Йен Майлс</t>
  </si>
  <si>
    <t>Э Калайчи</t>
  </si>
  <si>
    <t>Я Хойник</t>
  </si>
  <si>
    <t>А Зоргнер</t>
  </si>
  <si>
    <t>П Збировски</t>
  </si>
  <si>
    <t>В А Голикова</t>
  </si>
  <si>
    <t>О Н Образцова</t>
  </si>
  <si>
    <t>pillonlu</t>
  </si>
  <si>
    <t>Elif Kalayci</t>
  </si>
  <si>
    <t>Сандрин Кергроуч</t>
  </si>
  <si>
    <t>Аннамария Инцельт</t>
  </si>
  <si>
    <t>Дитер Бёгенхольд</t>
  </si>
  <si>
    <t>М Кузык</t>
  </si>
  <si>
    <t>Елена Борисовна Завьялова</t>
  </si>
  <si>
    <t>Али Шамси</t>
  </si>
  <si>
    <t>Сергей Рощин</t>
  </si>
  <si>
    <t>Рикардо Сейдль Да Фонсека</t>
  </si>
  <si>
    <t>В Миловидов</t>
  </si>
  <si>
    <t>Райаби Али</t>
  </si>
  <si>
    <t>Гибсон Элизабет</t>
  </si>
  <si>
    <t>С Борлауг</t>
  </si>
  <si>
    <t>Дмитрий Алексеевич Девяткин</t>
  </si>
  <si>
    <t>Ali Rezaeian</t>
  </si>
  <si>
    <t>Сейдль Да Фонсека Рикардо</t>
  </si>
  <si>
    <t>М Раунио</t>
  </si>
  <si>
    <t>П Рюкер-Шеффер</t>
  </si>
  <si>
    <t>Винченцо Бьянко</t>
  </si>
  <si>
    <t>Н Б Давидсон</t>
  </si>
  <si>
    <t>Волькер Ниссен</t>
  </si>
  <si>
    <t>Ирен Эк</t>
  </si>
  <si>
    <t>Хайн Роелфсема</t>
  </si>
  <si>
    <t>Игорь Борисович Гурков</t>
  </si>
  <si>
    <t>Непомнящий Тимофей</t>
  </si>
  <si>
    <t>Irene Ek</t>
  </si>
  <si>
    <t>Ахамер Гильберт</t>
  </si>
  <si>
    <t>Склэрью Дэниел</t>
  </si>
  <si>
    <t>Н Килинч-Ата</t>
  </si>
  <si>
    <t>СВ Филиппов</t>
  </si>
  <si>
    <t>А Г Маланичев</t>
  </si>
  <si>
    <t>Д А Грушевенко</t>
  </si>
  <si>
    <t>Хаке Юрген-Фридрих</t>
  </si>
  <si>
    <t>Ле Дук Тоан</t>
  </si>
  <si>
    <t>Иоанна Эйдис</t>
  </si>
  <si>
    <t>Э Хайнс</t>
  </si>
  <si>
    <t>Ли Джеонг-Донг</t>
  </si>
  <si>
    <t>ИН Иванова</t>
  </si>
  <si>
    <t>М Шписбергер</t>
  </si>
  <si>
    <t>Михаэль Фрич</t>
  </si>
  <si>
    <t>Марта Гётц</t>
  </si>
  <si>
    <t>Хиллари Суонсон</t>
  </si>
  <si>
    <t>Д М Абузярова</t>
  </si>
  <si>
    <t>Ина Краузе</t>
  </si>
  <si>
    <t>Фрэнк Фоссен</t>
  </si>
  <si>
    <t>С М Ким</t>
  </si>
  <si>
    <t>Голт Фред</t>
  </si>
  <si>
    <t>Крылов Евгений</t>
  </si>
  <si>
    <t>С К Пулино</t>
  </si>
  <si>
    <t>Н Молотжа</t>
  </si>
  <si>
    <t>М П Зобнина</t>
  </si>
  <si>
    <t>М Б Солесвик</t>
  </si>
  <si>
    <t>Э Комлоши</t>
  </si>
  <si>
    <t>Ю Г Трабская</t>
  </si>
  <si>
    <t>А Мачтама</t>
  </si>
  <si>
    <t>Д Энрикес</t>
  </si>
  <si>
    <t>Эйдис Иоанна</t>
  </si>
  <si>
    <t>Чой Бьюнг Гвун</t>
  </si>
  <si>
    <t>Халицкая Катаржина</t>
  </si>
  <si>
    <t>А М Зомарев</t>
  </si>
  <si>
    <t>Gaofeng Yi</t>
  </si>
  <si>
    <t>А Ю Кононюк</t>
  </si>
  <si>
    <t>Сергей Анатольевич Белозеров</t>
  </si>
  <si>
    <t>П Пурванто</t>
  </si>
  <si>
    <t>Sergey A Belozyorov</t>
  </si>
  <si>
    <t>Г Йи</t>
  </si>
  <si>
    <t>М Васиев</t>
  </si>
  <si>
    <t>Васиев Максим</t>
  </si>
  <si>
    <t>Д Паап</t>
  </si>
  <si>
    <t>Х Мансилья-де-ла-Круз</t>
  </si>
  <si>
    <t>Эштон Брэдфорд</t>
  </si>
  <si>
    <t>Л Гимарайеш-Гарсия</t>
  </si>
  <si>
    <t>А Ду</t>
  </si>
  <si>
    <t>Marié-Luce Kühn</t>
  </si>
  <si>
    <t>К Крайг Джонатан</t>
  </si>
  <si>
    <t>Кюн Мари-Люс</t>
  </si>
  <si>
    <t>Н Сьюдасс</t>
  </si>
  <si>
    <t>Leonardo Guimarães Garcia</t>
  </si>
  <si>
    <t>Е Г Князева</t>
  </si>
  <si>
    <t>Анджей Магрук</t>
  </si>
  <si>
    <t>Гамалова Марта</t>
  </si>
  <si>
    <t>Врабие Валерия</t>
  </si>
  <si>
    <t>С Оттоникар</t>
  </si>
  <si>
    <t>Х Висмет</t>
  </si>
  <si>
    <t>Дуарте Торрес Эрик Николас</t>
  </si>
  <si>
    <t>Кырлежев Александр</t>
  </si>
  <si>
    <t>К Майнцер</t>
  </si>
  <si>
    <t>Кавалек Анна</t>
  </si>
  <si>
    <t>Elena Ochirova</t>
  </si>
  <si>
    <t>Дхакал Тхакур</t>
  </si>
  <si>
    <t>А Базркар</t>
  </si>
  <si>
    <t>Е С Очирова</t>
  </si>
  <si>
    <t>Баник Ниланджан</t>
  </si>
  <si>
    <t>В Анзулес-Фалконес</t>
  </si>
  <si>
    <t>Даим Тугрул</t>
  </si>
  <si>
    <t>Веласко Гильермо</t>
  </si>
  <si>
    <t>Ю Кисита</t>
  </si>
  <si>
    <t>Sergey Bredikhin</t>
  </si>
  <si>
    <t>Ли Сунджу</t>
  </si>
  <si>
    <t>Нет</t>
  </si>
  <si>
    <t>Х Мурата</t>
  </si>
  <si>
    <t>О О’Салливан</t>
  </si>
  <si>
    <t>Д Е Климанов</t>
  </si>
  <si>
    <t>Р Э даСильва</t>
  </si>
  <si>
    <t>Перейра Рубен</t>
  </si>
  <si>
    <t>К Фарташ</t>
  </si>
  <si>
    <t>Evgeny V Balatsky</t>
  </si>
  <si>
    <t>Евгений Всеволодович Балацкий</t>
  </si>
  <si>
    <t>Йи Гаофенг</t>
  </si>
  <si>
    <t>Tatiana Andreeva</t>
  </si>
  <si>
    <t>Olga Belousova</t>
  </si>
  <si>
    <t>Chepurenko Alexander</t>
  </si>
  <si>
    <t>Umut Cetinkaya</t>
  </si>
  <si>
    <t>Veronika Belousova</t>
  </si>
  <si>
    <t>A4342657467</t>
  </si>
  <si>
    <t>A627483062</t>
  </si>
  <si>
    <t>A4360074228</t>
  </si>
  <si>
    <t>A2805718981</t>
  </si>
  <si>
    <t>A2131007686</t>
  </si>
  <si>
    <t>A4346334846</t>
  </si>
  <si>
    <t>A2894627111</t>
  </si>
  <si>
    <t>A4350455223</t>
  </si>
  <si>
    <t>A4357875346</t>
  </si>
  <si>
    <t>A4335462211</t>
  </si>
  <si>
    <t>A4350588903</t>
  </si>
  <si>
    <t>A4351800442</t>
  </si>
  <si>
    <t>A4345385686</t>
  </si>
  <si>
    <t>A4332331325</t>
  </si>
  <si>
    <t>A4357888965</t>
  </si>
  <si>
    <t>A2978379530</t>
  </si>
  <si>
    <t>A2102829867</t>
  </si>
  <si>
    <t>A2761211625</t>
  </si>
  <si>
    <t>A4349611177</t>
  </si>
  <si>
    <t>A2780366137</t>
  </si>
  <si>
    <t>A2616979433</t>
  </si>
  <si>
    <t>A4354655407</t>
  </si>
  <si>
    <t>A4341036881</t>
  </si>
  <si>
    <t>A2225551201</t>
  </si>
  <si>
    <t>A4357862398</t>
  </si>
  <si>
    <t>A4331343813</t>
  </si>
  <si>
    <t>A4334569598</t>
  </si>
  <si>
    <t>A4334107271</t>
  </si>
  <si>
    <t>A4340183595</t>
  </si>
  <si>
    <t>A1969970231</t>
  </si>
  <si>
    <t>A2244703441</t>
  </si>
  <si>
    <t>A3045664096</t>
  </si>
  <si>
    <t>A2328981827</t>
  </si>
  <si>
    <t>A2221994924</t>
  </si>
  <si>
    <t>A4342804701</t>
  </si>
  <si>
    <t>A2563026890</t>
  </si>
  <si>
    <t>A4338003052</t>
  </si>
  <si>
    <t>A4349835320</t>
  </si>
  <si>
    <t>A4356300829</t>
  </si>
  <si>
    <t>A4357536779</t>
  </si>
  <si>
    <t>A2759305958</t>
  </si>
  <si>
    <t>A4350181306</t>
  </si>
  <si>
    <t>A4345149214</t>
  </si>
  <si>
    <t>A3183488792</t>
  </si>
  <si>
    <t>A1541341885</t>
  </si>
  <si>
    <t>A2117316679</t>
  </si>
  <si>
    <t>A3154845719</t>
  </si>
  <si>
    <t>A4209275213</t>
  </si>
  <si>
    <t>A2653327933</t>
  </si>
  <si>
    <t>A2916302844</t>
  </si>
  <si>
    <t>A4339372457</t>
  </si>
  <si>
    <t>A2948617320</t>
  </si>
  <si>
    <t>A4334450756</t>
  </si>
  <si>
    <t>A4357090458</t>
  </si>
  <si>
    <t>A4207532042</t>
  </si>
  <si>
    <t>A4354831912</t>
  </si>
  <si>
    <t>A2803726550</t>
  </si>
  <si>
    <t>A2480408468</t>
  </si>
  <si>
    <t>A4356383283</t>
  </si>
  <si>
    <t>A4345945921</t>
  </si>
  <si>
    <t>A4347139001</t>
  </si>
  <si>
    <t>A4347284928</t>
  </si>
  <si>
    <t>A2605442595</t>
  </si>
  <si>
    <t>A2912192591</t>
  </si>
  <si>
    <t>A4359796650</t>
  </si>
  <si>
    <t>A4336161806</t>
  </si>
  <si>
    <t>A3160153183</t>
  </si>
  <si>
    <t>A2103310103</t>
  </si>
  <si>
    <t>A1993526275</t>
  </si>
  <si>
    <t>A4357062845</t>
  </si>
  <si>
    <t>A4346631797</t>
  </si>
  <si>
    <t>A4209121992</t>
  </si>
  <si>
    <t>A4347304438</t>
  </si>
  <si>
    <t>A4354820552</t>
  </si>
  <si>
    <t>A1265030452</t>
  </si>
  <si>
    <t>A4331610773</t>
  </si>
  <si>
    <t>A2097383481</t>
  </si>
  <si>
    <t>A4348937923</t>
  </si>
  <si>
    <t>A2975177092</t>
  </si>
  <si>
    <t>A3034312344</t>
  </si>
  <si>
    <t>A4337105566</t>
  </si>
  <si>
    <t>A4336061113</t>
  </si>
  <si>
    <t>A4338653768</t>
  </si>
  <si>
    <t>A4209530543</t>
  </si>
  <si>
    <t>A4340701029</t>
  </si>
  <si>
    <t>A2948548721</t>
  </si>
  <si>
    <t>A4334238686</t>
  </si>
  <si>
    <t>A4356946987</t>
  </si>
  <si>
    <t>A4335024035</t>
  </si>
  <si>
    <t>A4354923412</t>
  </si>
  <si>
    <t>A2728385329</t>
  </si>
  <si>
    <t>A1982934913</t>
  </si>
  <si>
    <t>A4358564352</t>
  </si>
  <si>
    <t>A4349702616</t>
  </si>
  <si>
    <t>A2169129053</t>
  </si>
  <si>
    <t>A4344496735</t>
  </si>
  <si>
    <t>A3211096933</t>
  </si>
  <si>
    <t>A4337851207</t>
  </si>
  <si>
    <t>A4333366542</t>
  </si>
  <si>
    <t>A4345356516</t>
  </si>
  <si>
    <t>A2284807473</t>
  </si>
  <si>
    <t>A4333398801</t>
  </si>
  <si>
    <t>A2802407527</t>
  </si>
  <si>
    <t>A4339017739</t>
  </si>
  <si>
    <t>A4344910855</t>
  </si>
  <si>
    <t>A2510953771</t>
  </si>
  <si>
    <t>A4344400614</t>
  </si>
  <si>
    <t>A4346553581</t>
  </si>
  <si>
    <t>A2515343093</t>
  </si>
  <si>
    <t>A2757220008</t>
  </si>
  <si>
    <t>A2567051992</t>
  </si>
  <si>
    <t>A4359837075</t>
  </si>
  <si>
    <t>A4345689344</t>
  </si>
  <si>
    <t>A4351528233</t>
  </si>
  <si>
    <t>A4336879477</t>
  </si>
  <si>
    <t>A4346391468</t>
  </si>
  <si>
    <t>A2345051610</t>
  </si>
  <si>
    <t>A4348644525</t>
  </si>
  <si>
    <t>A2383712806</t>
  </si>
  <si>
    <t>A2292833089</t>
  </si>
  <si>
    <t>A2409474514</t>
  </si>
  <si>
    <t>A4332949958</t>
  </si>
  <si>
    <t>A2519310198</t>
  </si>
  <si>
    <t>A2748825491</t>
  </si>
  <si>
    <t>A4332623195</t>
  </si>
  <si>
    <t>A4330682996</t>
  </si>
  <si>
    <t>A4344150658</t>
  </si>
  <si>
    <t>A2729413740</t>
  </si>
  <si>
    <t>A4331210989</t>
  </si>
  <si>
    <t>A3124143462</t>
  </si>
  <si>
    <t>A4346329660</t>
  </si>
  <si>
    <t>A3122172771</t>
  </si>
  <si>
    <t>A4337958371</t>
  </si>
  <si>
    <t>A2894423992</t>
  </si>
  <si>
    <t>A3121980319</t>
  </si>
  <si>
    <t>A4335277926</t>
  </si>
  <si>
    <t>A2733763303</t>
  </si>
  <si>
    <t>A2728836939</t>
  </si>
  <si>
    <t>A2938504230</t>
  </si>
  <si>
    <t>A2726888026</t>
  </si>
  <si>
    <t>A4355879092</t>
  </si>
  <si>
    <t>A4333892756</t>
  </si>
  <si>
    <t>A2756879431</t>
  </si>
  <si>
    <t>A4332340328</t>
  </si>
  <si>
    <t>A4338923827</t>
  </si>
  <si>
    <t>A2779182670</t>
  </si>
  <si>
    <t>A2779149977</t>
  </si>
  <si>
    <t>A3035232353</t>
  </si>
  <si>
    <t>A4332477916</t>
  </si>
  <si>
    <t>A4348768780</t>
  </si>
  <si>
    <t>A2990399103</t>
  </si>
  <si>
    <t>A2794659334</t>
  </si>
  <si>
    <t>A2795097691</t>
  </si>
  <si>
    <t>A4348049627</t>
  </si>
  <si>
    <t>A2115388393</t>
  </si>
  <si>
    <t>A3145803533</t>
  </si>
  <si>
    <t>A2891861353</t>
  </si>
  <si>
    <t>A4349604398</t>
  </si>
  <si>
    <t>A4334701312</t>
  </si>
  <si>
    <t>A2893331664</t>
  </si>
  <si>
    <t>A2955549392</t>
  </si>
  <si>
    <t>A4337665749</t>
  </si>
  <si>
    <t>A4345900876</t>
  </si>
  <si>
    <t>A4352750556</t>
  </si>
  <si>
    <t>A4341471245</t>
  </si>
  <si>
    <t>A2951820321</t>
  </si>
  <si>
    <t>A2933638274</t>
  </si>
  <si>
    <t>A4336067837</t>
  </si>
  <si>
    <t>A3087999698</t>
  </si>
  <si>
    <t>A2945657744</t>
  </si>
  <si>
    <t>A2949653188</t>
  </si>
  <si>
    <t>A4330451781</t>
  </si>
  <si>
    <t>A4351756780</t>
  </si>
  <si>
    <t>A2955884315</t>
  </si>
  <si>
    <t>A4334546887</t>
  </si>
  <si>
    <t>A4338903793</t>
  </si>
  <si>
    <t>A4340210074</t>
  </si>
  <si>
    <t>A4350453955</t>
  </si>
  <si>
    <t>A3002760652</t>
  </si>
  <si>
    <t>A2988348734</t>
  </si>
  <si>
    <t>A2993959571</t>
  </si>
  <si>
    <t>A4354806085</t>
  </si>
  <si>
    <t>A2992804318</t>
  </si>
  <si>
    <t>A2994265799</t>
  </si>
  <si>
    <t>A2992779033</t>
  </si>
  <si>
    <t>A2991882319</t>
  </si>
  <si>
    <t>A2992702076</t>
  </si>
  <si>
    <t>A3015092617</t>
  </si>
  <si>
    <t>A4342136863</t>
  </si>
  <si>
    <t>A3034265073</t>
  </si>
  <si>
    <t>A4338845507</t>
  </si>
  <si>
    <t>A4330525023</t>
  </si>
  <si>
    <t>A3034737966</t>
  </si>
  <si>
    <t>A4332591218</t>
  </si>
  <si>
    <t>A4335767751</t>
  </si>
  <si>
    <t>A3027296171</t>
  </si>
  <si>
    <t>A3081861562</t>
  </si>
  <si>
    <t>A3088723167</t>
  </si>
  <si>
    <t>A3092616753</t>
  </si>
  <si>
    <t>A4346818181</t>
  </si>
  <si>
    <t>A3161485717</t>
  </si>
  <si>
    <t>A2291169495</t>
  </si>
  <si>
    <t>A3123168855</t>
  </si>
  <si>
    <t>A4335003457</t>
  </si>
  <si>
    <t>A3112716234</t>
  </si>
  <si>
    <t>A3116445430</t>
  </si>
  <si>
    <t>A4348137968</t>
  </si>
  <si>
    <t>A4341304467</t>
  </si>
  <si>
    <t>A4351455789</t>
  </si>
  <si>
    <t>A4340387048</t>
  </si>
  <si>
    <t>A3155747741</t>
  </si>
  <si>
    <t>A3155467675</t>
  </si>
  <si>
    <t>A1026552782</t>
  </si>
  <si>
    <t>A3180415300</t>
  </si>
  <si>
    <t>A3165403157</t>
  </si>
  <si>
    <t>A3195822510</t>
  </si>
  <si>
    <t>A4342690922</t>
  </si>
  <si>
    <t>A4342018778</t>
  </si>
  <si>
    <t>A4335994679</t>
  </si>
  <si>
    <t>A4344899201</t>
  </si>
  <si>
    <t>A3193433202</t>
  </si>
  <si>
    <t>A4351582722</t>
  </si>
  <si>
    <t>A3200113927</t>
  </si>
  <si>
    <t>A3202110124</t>
  </si>
  <si>
    <t>A3203466577</t>
  </si>
  <si>
    <t>A3034457639</t>
  </si>
  <si>
    <t>A2189408689</t>
  </si>
  <si>
    <t>A4208130433</t>
  </si>
  <si>
    <t>A4207516333</t>
  </si>
  <si>
    <t>A4344925807</t>
  </si>
  <si>
    <t>A1867120861</t>
  </si>
  <si>
    <t>A4300626817</t>
  </si>
  <si>
    <t>Evangelos Grigoroudis</t>
  </si>
  <si>
    <t>Wolfgang Polt</t>
  </si>
  <si>
    <t>Vera Barinova</t>
  </si>
  <si>
    <t>Julio Raffo</t>
  </si>
  <si>
    <t>Bruno Brandão Fischer</t>
  </si>
  <si>
    <t>Gregory Richards</t>
  </si>
  <si>
    <t>Nadja Nordling</t>
  </si>
  <si>
    <t>Irina Ilina</t>
  </si>
  <si>
    <t>Tong Qiu</t>
  </si>
  <si>
    <t>Alicja Gudanowska</t>
  </si>
  <si>
    <t>Mitja Ruzzier</t>
  </si>
  <si>
    <t>Alexander V Muradov</t>
  </si>
  <si>
    <t>Alex Viana Veloso</t>
  </si>
  <si>
    <t>Миронов Евгений</t>
  </si>
  <si>
    <t>Francisco Legaz Paredes</t>
  </si>
  <si>
    <t>Oleg Mariev</t>
  </si>
  <si>
    <t>Barbara Jankowska</t>
  </si>
  <si>
    <t>Martyn Rowling</t>
  </si>
  <si>
    <t>Sergey Ayvazyan</t>
  </si>
  <si>
    <t>Robert Klinglmair</t>
  </si>
  <si>
    <t>László Csonka</t>
  </si>
  <si>
    <t>Alexander Pilyasov</t>
  </si>
  <si>
    <t>Nicholas S Vonortas</t>
  </si>
  <si>
    <t>A Mogilat</t>
  </si>
  <si>
    <t>Michael Wyrwich</t>
  </si>
  <si>
    <t>Yaroslav Eferin</t>
  </si>
  <si>
    <t>Yo Won Choi</t>
  </si>
  <si>
    <t>Tõnis Mets</t>
  </si>
  <si>
    <t>Ekaterina Ugnich</t>
  </si>
  <si>
    <t>YaA Roschina</t>
  </si>
  <si>
    <t>Liudmila Ivvonen</t>
  </si>
  <si>
    <t>Maria Kristalova</t>
  </si>
  <si>
    <t>Anna K Pajak</t>
  </si>
  <si>
    <t>Sarah Parks</t>
  </si>
  <si>
    <t>Stavros Mantzanakis</t>
  </si>
  <si>
    <t>Reza Hoveida</t>
  </si>
  <si>
    <t>Sylvia Schwaag Serger</t>
  </si>
  <si>
    <t>Galina Volkova</t>
  </si>
  <si>
    <t>Boris N Kuznetsov</t>
  </si>
  <si>
    <t>Sergey Solntsev</t>
  </si>
  <si>
    <t>Paloma Marín-Arraiza</t>
  </si>
  <si>
    <t>Milind G Padalkar</t>
  </si>
  <si>
    <t>Martinis Yamin</t>
  </si>
  <si>
    <t>Dmitry Kucherov</t>
  </si>
  <si>
    <t>Kuswandi Kuswandi</t>
  </si>
  <si>
    <t>Mingye Ai</t>
  </si>
  <si>
    <t>Siri Aanstad</t>
  </si>
  <si>
    <t>Elena Nechaeva</t>
  </si>
  <si>
    <t>Liliana Proskuryakova</t>
  </si>
  <si>
    <t>Julian Schönbeck</t>
  </si>
  <si>
    <t>Засимова Людмила Сергеевна</t>
  </si>
  <si>
    <t>Natalia Khalina</t>
  </si>
  <si>
    <t>Oscar F Bustinza</t>
  </si>
  <si>
    <t>Tatiana A Poliakova</t>
  </si>
  <si>
    <t>Anna Grebenyuk</t>
  </si>
  <si>
    <t>Huu Phuc Nguyen</t>
  </si>
  <si>
    <t>Evgeniy Morgunov</t>
  </si>
  <si>
    <t>Jennifer F Sklarew</t>
  </si>
  <si>
    <t>Paul Westhead</t>
  </si>
  <si>
    <t>Anatoly V Korotkov</t>
  </si>
  <si>
    <t>Mykola Rozhenko</t>
  </si>
  <si>
    <t>Philippe Clerc</t>
  </si>
  <si>
    <t>Питирим Александрович Сорокин</t>
  </si>
  <si>
    <t>Ali Moshiripour</t>
  </si>
  <si>
    <t>Eti Herman</t>
  </si>
  <si>
    <t>Olga Tretyak</t>
  </si>
  <si>
    <t>Paulo Carlos Kaminski</t>
  </si>
  <si>
    <t>З А Котельникова</t>
  </si>
  <si>
    <t>Leonardo A Garcia-Garcia</t>
  </si>
  <si>
    <t>Øivind Strand</t>
  </si>
  <si>
    <t>Ekaterina Grushevenko</t>
  </si>
  <si>
    <t>Allan J Collins</t>
  </si>
  <si>
    <t>S Parker</t>
  </si>
  <si>
    <t>Riccardo Maiolini</t>
  </si>
  <si>
    <t>Gleb A Kuzmin</t>
  </si>
  <si>
    <t>Tamam Nafikova</t>
  </si>
  <si>
    <t>Vitaliy Roud</t>
  </si>
  <si>
    <t>Esraa Bukhari</t>
  </si>
  <si>
    <t>Anna Sacio-Szymańska</t>
  </si>
  <si>
    <t>Chulwoo Baek</t>
  </si>
  <si>
    <t>Gresa Latifi</t>
  </si>
  <si>
    <t>Шарикова Галина</t>
  </si>
  <si>
    <t>Yi Zhang</t>
  </si>
  <si>
    <t>Arnis Sauka</t>
  </si>
  <si>
    <t>Balázs Páger</t>
  </si>
  <si>
    <t>Robert Phaal</t>
  </si>
  <si>
    <t>Галина Ковалева</t>
  </si>
  <si>
    <t>Angela Maria Diaz-Marquez</t>
  </si>
  <si>
    <t>Kotaro Nakamura</t>
  </si>
  <si>
    <t>Rafael Popper</t>
  </si>
  <si>
    <t>Kook Jin Jang</t>
  </si>
  <si>
    <t>Isaias Scalabrin Bianchi</t>
  </si>
  <si>
    <t>S Konopa</t>
  </si>
  <si>
    <t>Anna Fedyunina</t>
  </si>
  <si>
    <t>Mahdi Elyasi</t>
  </si>
  <si>
    <t>UN Kurelchuk</t>
  </si>
  <si>
    <t>Ф Паредес</t>
  </si>
  <si>
    <t>У Н Курельчук</t>
  </si>
  <si>
    <t>Чои Хан-Лим</t>
  </si>
  <si>
    <t>К Б Богатырева</t>
  </si>
  <si>
    <t>В Н Забавников</t>
  </si>
  <si>
    <t>Рафаша Портиа</t>
  </si>
  <si>
    <t>Н Чичканов</t>
  </si>
  <si>
    <t>Д Б Сарпонг</t>
  </si>
  <si>
    <t>ТИ Кузнецова</t>
  </si>
  <si>
    <t>Алрикаби Касим Абдулджаббар Хамад</t>
  </si>
  <si>
    <t>Б Графов Дмитрий</t>
  </si>
  <si>
    <t>АВ Пономарев</t>
  </si>
  <si>
    <t>Е А Угнич</t>
  </si>
  <si>
    <t>Э Григорудис</t>
  </si>
  <si>
    <t>АН Могилат</t>
  </si>
  <si>
    <t>М Роулинг</t>
  </si>
  <si>
    <t>Грегори Ричардс</t>
  </si>
  <si>
    <t>О Бустинца</t>
  </si>
  <si>
    <t>Д Раффо</t>
  </si>
  <si>
    <t>Рощина Яна</t>
  </si>
  <si>
    <t>Марей Александр</t>
  </si>
  <si>
    <t>АГ Айвазян</t>
  </si>
  <si>
    <t>ВА Баринова</t>
  </si>
  <si>
    <t>Манцанакис Ставрос</t>
  </si>
  <si>
    <t>АН Пилясов</t>
  </si>
  <si>
    <t>Х Хосропур</t>
  </si>
  <si>
    <t>Hossein Khosropour</t>
  </si>
  <si>
    <t>Э Эрдил</t>
  </si>
  <si>
    <t>Tatiana Garanina</t>
  </si>
  <si>
    <t>Г Латифи</t>
  </si>
  <si>
    <t>Ховейда Реза</t>
  </si>
  <si>
    <t>С Швааг-Сергер</t>
  </si>
  <si>
    <t>С Паркс</t>
  </si>
  <si>
    <t>Ямин Мартинис</t>
  </si>
  <si>
    <t>Р Ховейда</t>
  </si>
  <si>
    <t>Г И Волкова</t>
  </si>
  <si>
    <t>Паули Вольфганг</t>
  </si>
  <si>
    <t>М Рузьер</t>
  </si>
  <si>
    <t>Борис Николаевич Кузнецов</t>
  </si>
  <si>
    <t>Татьяна Валериевна Полякова</t>
  </si>
  <si>
    <t>Ласло Ксонка</t>
  </si>
  <si>
    <t>Роберт Клинглмайр</t>
  </si>
  <si>
    <t>Анна Гребенюкй</t>
  </si>
  <si>
    <t>Дмитро Павлович Кучеров</t>
  </si>
  <si>
    <t>С С Солнцев</t>
  </si>
  <si>
    <t>Багери Рухолла</t>
  </si>
  <si>
    <t>С Аанстад</t>
  </si>
  <si>
    <t>Л Гарсиа-Гарсиа</t>
  </si>
  <si>
    <t>Е И Нечаева</t>
  </si>
  <si>
    <t>Rouhollah Bagheri</t>
  </si>
  <si>
    <t>Пинхейро-Велосо Алекс</t>
  </si>
  <si>
    <t>Н Нордлинг</t>
  </si>
  <si>
    <t>Б Фишер</t>
  </si>
  <si>
    <t>Олег Святославович Мариев</t>
  </si>
  <si>
    <t>Татьяна Лёзина</t>
  </si>
  <si>
    <t>Йи Чжан</t>
  </si>
  <si>
    <t>Артем Иванович Алсуфьев</t>
  </si>
  <si>
    <t>Е В Моргунов</t>
  </si>
  <si>
    <t>С Голдман Дженнифер</t>
  </si>
  <si>
    <t>ЕА Грушевенко</t>
  </si>
  <si>
    <t>Проскурякова Лилиана</t>
  </si>
  <si>
    <t>Нгуэн Хуу Пху</t>
  </si>
  <si>
    <t>Алисья Гудановска</t>
  </si>
  <si>
    <t>Баэк Чулву</t>
  </si>
  <si>
    <t>О Стрэнд</t>
  </si>
  <si>
    <t>Ю Шёнбек</t>
  </si>
  <si>
    <t>М Вюрвих</t>
  </si>
  <si>
    <t>Аллен Коллинз</t>
  </si>
  <si>
    <t>Г Е Кузьмин</t>
  </si>
  <si>
    <t>Й Чой</t>
  </si>
  <si>
    <t>Исковских Людмила</t>
  </si>
  <si>
    <t>Еферин Ярослав</t>
  </si>
  <si>
    <t>Р Майолини</t>
  </si>
  <si>
    <t>С Паркер</t>
  </si>
  <si>
    <t>A S Korotkov</t>
  </si>
  <si>
    <t>П Уэстхед</t>
  </si>
  <si>
    <t>Б Пагер</t>
  </si>
  <si>
    <t>Т Метс</t>
  </si>
  <si>
    <t>А Саука</t>
  </si>
  <si>
    <t>М Кристалова</t>
  </si>
  <si>
    <t>Р Перейра</t>
  </si>
  <si>
    <t>М В Роженко</t>
  </si>
  <si>
    <t>А Паяк</t>
  </si>
  <si>
    <t>ЕМ Соколовская</t>
  </si>
  <si>
    <t>Т Н Нафикова</t>
  </si>
  <si>
    <t>К Кусванди</t>
  </si>
  <si>
    <t>Olena Sokolovska</t>
  </si>
  <si>
    <t>Кви Со Би</t>
  </si>
  <si>
    <t>Би Кесин</t>
  </si>
  <si>
    <t>М Родригес-Сальвадор</t>
  </si>
  <si>
    <t>Ф Клерк</t>
  </si>
  <si>
    <t>Wilma Viviers</t>
  </si>
  <si>
    <t>Вивье Уилма</t>
  </si>
  <si>
    <t>Янковска Барбара</t>
  </si>
  <si>
    <t>Р Доценко Виталий</t>
  </si>
  <si>
    <t>П Аррайса</t>
  </si>
  <si>
    <t>И Херман</t>
  </si>
  <si>
    <t>Ч Мокрецкий Александр</t>
  </si>
  <si>
    <t>Палушинска Анна</t>
  </si>
  <si>
    <t>Yury Dranev</t>
  </si>
  <si>
    <t>М Сун</t>
  </si>
  <si>
    <t>М Ай</t>
  </si>
  <si>
    <t>А Моширипур</t>
  </si>
  <si>
    <t>Падалкар Милинд</t>
  </si>
  <si>
    <t>А М Диас-Маркес</t>
  </si>
  <si>
    <t>Бухари Эсраа</t>
  </si>
  <si>
    <t>Поппер Рафаэль</t>
  </si>
  <si>
    <t>Дарнелл Ребекка Джин</t>
  </si>
  <si>
    <t>Кэнъносукэ Накамура</t>
  </si>
  <si>
    <t>Р Фааль</t>
  </si>
  <si>
    <t>Ольга Анатольевна Третьяк</t>
  </si>
  <si>
    <t>П К Камински</t>
  </si>
  <si>
    <t>Бьянки Исайас Скалабрин</t>
  </si>
  <si>
    <t>М Эльяси</t>
  </si>
  <si>
    <t>А Сачио-Шиманьска</t>
  </si>
  <si>
    <t>Erkan Erdil</t>
  </si>
  <si>
    <t>Nikolay Chichkanov</t>
  </si>
  <si>
    <t>A4346894233</t>
  </si>
  <si>
    <t>A4335021956</t>
  </si>
  <si>
    <t>A2972039253</t>
  </si>
  <si>
    <t>A4345972879</t>
  </si>
  <si>
    <t>A4356122839</t>
  </si>
  <si>
    <t>A206061612</t>
  </si>
  <si>
    <t>A298539989</t>
  </si>
  <si>
    <t>A4356684441</t>
  </si>
  <si>
    <t>A4349787865</t>
  </si>
  <si>
    <t>A3091736549</t>
  </si>
  <si>
    <t>A740016682</t>
  </si>
  <si>
    <t>A4336488965</t>
  </si>
  <si>
    <t>A2559375257</t>
  </si>
  <si>
    <t>A4352829613</t>
  </si>
  <si>
    <t>A2105344821</t>
  </si>
  <si>
    <t>A2667239145</t>
  </si>
  <si>
    <t>A2781174272</t>
  </si>
  <si>
    <t>A2030692041</t>
  </si>
  <si>
    <t>A4356148175</t>
  </si>
  <si>
    <t>A4358368759</t>
  </si>
  <si>
    <t>A2512827857</t>
  </si>
  <si>
    <t>A3120482924</t>
  </si>
  <si>
    <t>A4338254254</t>
  </si>
  <si>
    <t>A1976283459</t>
  </si>
  <si>
    <t>A2549987515</t>
  </si>
  <si>
    <t>A4344713995</t>
  </si>
  <si>
    <t>A4342853739</t>
  </si>
  <si>
    <t>A4356052909</t>
  </si>
  <si>
    <t>A3112991265</t>
  </si>
  <si>
    <t>A4332580537</t>
  </si>
  <si>
    <t>A2313075969</t>
  </si>
  <si>
    <t>A4337961045</t>
  </si>
  <si>
    <t>A4355136673</t>
  </si>
  <si>
    <t>A2017788476</t>
  </si>
  <si>
    <t>A2954268016</t>
  </si>
  <si>
    <t>A3162911118</t>
  </si>
  <si>
    <t>A2974807362</t>
  </si>
  <si>
    <t>A2733567855</t>
  </si>
  <si>
    <t>A2776286484</t>
  </si>
  <si>
    <t>A4358826798</t>
  </si>
  <si>
    <t>A4334427100</t>
  </si>
  <si>
    <t>A4346171903</t>
  </si>
  <si>
    <t>A2938864231</t>
  </si>
  <si>
    <t>A4340810058</t>
  </si>
  <si>
    <t>A4358900840</t>
  </si>
  <si>
    <t>A4339191757</t>
  </si>
  <si>
    <t>A4333554740</t>
  </si>
  <si>
    <t>A4355516454</t>
  </si>
  <si>
    <t>A2481160920</t>
  </si>
  <si>
    <t>A3056234823</t>
  </si>
  <si>
    <t>A1986385787</t>
  </si>
  <si>
    <t>A4355651013</t>
  </si>
  <si>
    <t>A2071918837</t>
  </si>
  <si>
    <t>A4344450696</t>
  </si>
  <si>
    <t>A2911367251</t>
  </si>
  <si>
    <t>A2645750754</t>
  </si>
  <si>
    <t>A4358338229</t>
  </si>
  <si>
    <t>A2983687689</t>
  </si>
  <si>
    <t>A2483440168</t>
  </si>
  <si>
    <t>A2380433228</t>
  </si>
  <si>
    <t>A9607560</t>
  </si>
  <si>
    <t>A2491464780</t>
  </si>
  <si>
    <t>A4339881334</t>
  </si>
  <si>
    <t>A4335995281</t>
  </si>
  <si>
    <t>A4340984307</t>
  </si>
  <si>
    <t>A3101565962</t>
  </si>
  <si>
    <t>A222664938</t>
  </si>
  <si>
    <t>A4354199197</t>
  </si>
  <si>
    <t>A2957107130</t>
  </si>
  <si>
    <t>A3013937452</t>
  </si>
  <si>
    <t>A4331907896</t>
  </si>
  <si>
    <t>A4339701415</t>
  </si>
  <si>
    <t>A4345142384</t>
  </si>
  <si>
    <t>A4350878707</t>
  </si>
  <si>
    <t>A1539710314</t>
  </si>
  <si>
    <t>A3122132111</t>
  </si>
  <si>
    <t>A2597864713</t>
  </si>
  <si>
    <t>A3125179588</t>
  </si>
  <si>
    <t>A4347880307</t>
  </si>
  <si>
    <t>A4352496826</t>
  </si>
  <si>
    <t>A2561422075</t>
  </si>
  <si>
    <t>A2387057042</t>
  </si>
  <si>
    <t>A4351609787</t>
  </si>
  <si>
    <t>A2418334791</t>
  </si>
  <si>
    <t>A2520227670</t>
  </si>
  <si>
    <t>A4331500657</t>
  </si>
  <si>
    <t>A2617720025</t>
  </si>
  <si>
    <t>A4357820456</t>
  </si>
  <si>
    <t>A4336789261</t>
  </si>
  <si>
    <t>A3123363936</t>
  </si>
  <si>
    <t>A2891721671</t>
  </si>
  <si>
    <t>A3124657960</t>
  </si>
  <si>
    <t>A3122272992</t>
  </si>
  <si>
    <t>A2625536827</t>
  </si>
  <si>
    <t>A2732629468</t>
  </si>
  <si>
    <t>A4350060151</t>
  </si>
  <si>
    <t>A2759488314</t>
  </si>
  <si>
    <t>A4344703151</t>
  </si>
  <si>
    <t>A4342280034</t>
  </si>
  <si>
    <t>A2778765829</t>
  </si>
  <si>
    <t>A2779916951</t>
  </si>
  <si>
    <t>A4349634478</t>
  </si>
  <si>
    <t>A4355986729</t>
  </si>
  <si>
    <t>A2954814377</t>
  </si>
  <si>
    <t>A4346167526</t>
  </si>
  <si>
    <t>A2890136374</t>
  </si>
  <si>
    <t>A2892280215</t>
  </si>
  <si>
    <t>A4332368497</t>
  </si>
  <si>
    <t>A4340726617</t>
  </si>
  <si>
    <t>A4340269852</t>
  </si>
  <si>
    <t>A4333376379</t>
  </si>
  <si>
    <t>A4343274663</t>
  </si>
  <si>
    <t>A2929940802</t>
  </si>
  <si>
    <t>A2944551610</t>
  </si>
  <si>
    <t>A3088999451</t>
  </si>
  <si>
    <t>A2946315585</t>
  </si>
  <si>
    <t>A4343676666</t>
  </si>
  <si>
    <t>A4337573249</t>
  </si>
  <si>
    <t>A4339675668</t>
  </si>
  <si>
    <t>A2989545222</t>
  </si>
  <si>
    <t>A2994387260</t>
  </si>
  <si>
    <t>A4338259641</t>
  </si>
  <si>
    <t>A4338055250</t>
  </si>
  <si>
    <t>A2993840323</t>
  </si>
  <si>
    <t>A3014445154</t>
  </si>
  <si>
    <t>A2944251517</t>
  </si>
  <si>
    <t>A4346346451</t>
  </si>
  <si>
    <t>A4352635143</t>
  </si>
  <si>
    <t>A3035471551</t>
  </si>
  <si>
    <t>A4354038963</t>
  </si>
  <si>
    <t>A4332515282</t>
  </si>
  <si>
    <t>A4355362956</t>
  </si>
  <si>
    <t>A3082700677</t>
  </si>
  <si>
    <t>A3089094823</t>
  </si>
  <si>
    <t>A3091848686</t>
  </si>
  <si>
    <t>A3162666758</t>
  </si>
  <si>
    <t>A3112976935</t>
  </si>
  <si>
    <t>A3115973828</t>
  </si>
  <si>
    <t>A3127790293</t>
  </si>
  <si>
    <t>A4330998324</t>
  </si>
  <si>
    <t>A3165883299</t>
  </si>
  <si>
    <t>A3195773320</t>
  </si>
  <si>
    <t>A3195321281</t>
  </si>
  <si>
    <t>A2613402625</t>
  </si>
  <si>
    <t>A4335686709</t>
  </si>
  <si>
    <t>A3201032512</t>
  </si>
  <si>
    <t>A3193476655</t>
  </si>
  <si>
    <t>A3199980114</t>
  </si>
  <si>
    <t>A4349963362</t>
  </si>
  <si>
    <t>A4337642697</t>
  </si>
  <si>
    <t>A3203838497</t>
  </si>
  <si>
    <t>A3204378131</t>
  </si>
  <si>
    <t>A2120067817</t>
  </si>
  <si>
    <t>A4300626818</t>
  </si>
  <si>
    <t>A4306079313</t>
  </si>
  <si>
    <t>Isak Froumin</t>
  </si>
  <si>
    <t>R G Semenova</t>
  </si>
  <si>
    <t>Sacha Wunsch-Vincent</t>
  </si>
  <si>
    <t>Sergio Queiroz</t>
  </si>
  <si>
    <t>Jack C Smith</t>
  </si>
  <si>
    <t>Mika Kautonen</t>
  </si>
  <si>
    <t>Mikhail Salazkin</t>
  </si>
  <si>
    <t>Artem Denisov</t>
  </si>
  <si>
    <t>Katarzyna Halicka</t>
  </si>
  <si>
    <t>Alexey Pankratov</t>
  </si>
  <si>
    <t>Tatiana S Manolova</t>
  </si>
  <si>
    <t>Imogen Wade</t>
  </si>
  <si>
    <t>Andrey Pushkarev</t>
  </si>
  <si>
    <t>Gareth RT White</t>
  </si>
  <si>
    <t>Mikhail Afanasyev</t>
  </si>
  <si>
    <t>Florian Kandutsch</t>
  </si>
  <si>
    <t>Alexander A Frolov</t>
  </si>
  <si>
    <t>Olga Mikheeva</t>
  </si>
  <si>
    <t>Rafael Almeida</t>
  </si>
  <si>
    <t>Oksana Balmush</t>
  </si>
  <si>
    <t>Zhaklin Krayushkina</t>
  </si>
  <si>
    <t>Elena Gafforova</t>
  </si>
  <si>
    <t>Elta Smith</t>
  </si>
  <si>
    <t>Sayeed Ali Seyadat</t>
  </si>
  <si>
    <t>Emily Wise</t>
  </si>
  <si>
    <t>Dmitry V Vasilyev</t>
  </si>
  <si>
    <t>Armellini Fabiano</t>
  </si>
  <si>
    <t>VS Tsybova</t>
  </si>
  <si>
    <t>Fatmah Fatmah</t>
  </si>
  <si>
    <t>Vladimir Bocharnikov</t>
  </si>
  <si>
    <t>Roman Suvorov</t>
  </si>
  <si>
    <t>Курбанов Тимур Ринадович</t>
  </si>
  <si>
    <t>Maria Greve</t>
  </si>
  <si>
    <t>Fernando Vendrell-Herrero</t>
  </si>
  <si>
    <t>Ekaterina Popovskaya</t>
  </si>
  <si>
    <t>Evgenia Kakaeva</t>
  </si>
  <si>
    <t>Van Anh Ho</t>
  </si>
  <si>
    <t>Zokirzhon Saidov</t>
  </si>
  <si>
    <t>Aleksandr Rozhkov</t>
  </si>
  <si>
    <t>Alain Juillet</t>
  </si>
  <si>
    <t>Исак Давидович Фрумин</t>
  </si>
  <si>
    <t>Anthony Watkinson</t>
  </si>
  <si>
    <t>Alena Starodubtseva</t>
  </si>
  <si>
    <t>Uri Goren</t>
  </si>
  <si>
    <t>Rafael Marín</t>
  </si>
  <si>
    <t>Alexander Povalko</t>
  </si>
  <si>
    <t>Nikolay G Zudin</t>
  </si>
  <si>
    <t>Nour Mohammad Yaghoubi</t>
  </si>
  <si>
    <t>Loet Leydesdorff</t>
  </si>
  <si>
    <t>Vyacheslav Kulagin</t>
  </si>
  <si>
    <t>Pride Mudavanhu</t>
  </si>
  <si>
    <t>Paolo Venturi</t>
  </si>
  <si>
    <t>Timur R Gareev</t>
  </si>
  <si>
    <t>Dana Bakry</t>
  </si>
  <si>
    <t>S Ollenburg</t>
  </si>
  <si>
    <t>Sira Maliphol</t>
  </si>
  <si>
    <t>Judyta Lubacha-Sember</t>
  </si>
  <si>
    <t>Gábor Márkus</t>
  </si>
  <si>
    <t>Laura Ruiz-Cantu</t>
  </si>
  <si>
    <t>CR Featherston</t>
  </si>
  <si>
    <t>León Padilla</t>
  </si>
  <si>
    <t>Kunio Shirahada</t>
  </si>
  <si>
    <t>Myung Gyoon Lee</t>
  </si>
  <si>
    <t>Virgínia Maria da Silva Araújo</t>
  </si>
  <si>
    <t>Maksim A Yurevich</t>
  </si>
  <si>
    <t>Amir Ghorbani</t>
  </si>
  <si>
    <t>Sergey Masterov</t>
  </si>
  <si>
    <t>С В Мастеров</t>
  </si>
  <si>
    <t>ТБ Беляева</t>
  </si>
  <si>
    <t>Эмиль Асланов</t>
  </si>
  <si>
    <t>Е Г Насыбулина</t>
  </si>
  <si>
    <t>Д Каррузерс</t>
  </si>
  <si>
    <t>Стешенко Владимир</t>
  </si>
  <si>
    <t>АВ Фролов</t>
  </si>
  <si>
    <t>О Михееева</t>
  </si>
  <si>
    <t>Г Уайт</t>
  </si>
  <si>
    <t>Д Смит</t>
  </si>
  <si>
    <t>Ф Вендрелл-Эрреро</t>
  </si>
  <si>
    <t>С Вунш-Винсент</t>
  </si>
  <si>
    <t>Богданова Оксана</t>
  </si>
  <si>
    <t>Уэйд Имоджен</t>
  </si>
  <si>
    <t>А В Афанасьев</t>
  </si>
  <si>
    <t>А А Панкратов</t>
  </si>
  <si>
    <t>А Хосраванян</t>
  </si>
  <si>
    <t>Asieh Khosravanian</t>
  </si>
  <si>
    <t>Т Матоско</t>
  </si>
  <si>
    <t>Ю Любаха-Сембер</t>
  </si>
  <si>
    <t>Ягхуби Нур Мухаммад</t>
  </si>
  <si>
    <t>Э Уайз</t>
  </si>
  <si>
    <t>Э Смит</t>
  </si>
  <si>
    <t>С С Сейядат</t>
  </si>
  <si>
    <t>Т Манолова</t>
  </si>
  <si>
    <t>Е Б Поповская</t>
  </si>
  <si>
    <t>Флориан Кандуч</t>
  </si>
  <si>
    <t>Евгения Какаева</t>
  </si>
  <si>
    <t>Виктория Сергеевна Цыбова</t>
  </si>
  <si>
    <t>ДА Васильев</t>
  </si>
  <si>
    <t>Гарсес Эдвин</t>
  </si>
  <si>
    <t>Р Суворов</t>
  </si>
  <si>
    <t>М Каутонен</t>
  </si>
  <si>
    <t>С Кьероз</t>
  </si>
  <si>
    <t>А И Пушкарёв</t>
  </si>
  <si>
    <t>А А Салтан</t>
  </si>
  <si>
    <t>Инна Валентиновна Краковецкая</t>
  </si>
  <si>
    <t>ЗА Саидов</t>
  </si>
  <si>
    <t>ВА Кулагин</t>
  </si>
  <si>
    <t>Хо Ван Нхан</t>
  </si>
  <si>
    <t>Катаржина Халичка</t>
  </si>
  <si>
    <t>Малипхол Сира</t>
  </si>
  <si>
    <t>Л Лейдесдорфф</t>
  </si>
  <si>
    <t>Р Г Семёнова</t>
  </si>
  <si>
    <t>Жаклин Краюшкина</t>
  </si>
  <si>
    <t>Елена Борисовна Гаффорова</t>
  </si>
  <si>
    <t>П Вентури</t>
  </si>
  <si>
    <t>П Мудаванху</t>
  </si>
  <si>
    <t>А О Рожков</t>
  </si>
  <si>
    <t>Г Маркус</t>
  </si>
  <si>
    <t>Р Альмейда</t>
  </si>
  <si>
    <t>Ю А Ким</t>
  </si>
  <si>
    <t>Тимур Рустамович Гареев</t>
  </si>
  <si>
    <t>Ф Фатмах</t>
  </si>
  <si>
    <t>Young Ho Kim</t>
  </si>
  <si>
    <t>АН Денисов</t>
  </si>
  <si>
    <t>Денисов Артем</t>
  </si>
  <si>
    <t>Л Руис-Канту</t>
  </si>
  <si>
    <t>А Жюлье</t>
  </si>
  <si>
    <t>Сьюдасс Ниша</t>
  </si>
  <si>
    <t>Ф Армеллини</t>
  </si>
  <si>
    <t>Э Уоткинсон</t>
  </si>
  <si>
    <t>Гудановска Алисия-Эва</t>
  </si>
  <si>
    <t>В С Бочарников</t>
  </si>
  <si>
    <t>Л Падилья</t>
  </si>
  <si>
    <t>Бакри Дана</t>
  </si>
  <si>
    <t>Майлс Йен</t>
  </si>
  <si>
    <t>Thais Matoszko</t>
  </si>
  <si>
    <t>Л А Хан</t>
  </si>
  <si>
    <t>К Сирахада</t>
  </si>
  <si>
    <t>Ч Фезерстон</t>
  </si>
  <si>
    <t>У Горен</t>
  </si>
  <si>
    <t>Р А Марин</t>
  </si>
  <si>
    <t>Денисова Мария</t>
  </si>
  <si>
    <t>А Горбани</t>
  </si>
  <si>
    <t>Ш Олленбург</t>
  </si>
  <si>
    <t>Steven T Walsh</t>
  </si>
  <si>
    <t>A2605197845</t>
  </si>
  <si>
    <t>A4347345200</t>
  </si>
  <si>
    <t>A4358328499</t>
  </si>
  <si>
    <t>A4333777442</t>
  </si>
  <si>
    <t>A4353933562</t>
  </si>
  <si>
    <t>A3119139446</t>
  </si>
  <si>
    <t>A2010582600</t>
  </si>
  <si>
    <t>A2078402292</t>
  </si>
  <si>
    <t>A4359829063</t>
  </si>
  <si>
    <t>A1851315766</t>
  </si>
  <si>
    <t>A4332654045</t>
  </si>
  <si>
    <t>A2779544142</t>
  </si>
  <si>
    <t>A4358368740</t>
  </si>
  <si>
    <t>A3124626467</t>
  </si>
  <si>
    <t>A4357664720</t>
  </si>
  <si>
    <t>A4353658065</t>
  </si>
  <si>
    <t>A2795498789</t>
  </si>
  <si>
    <t>A4334606613</t>
  </si>
  <si>
    <t>A2937135563</t>
  </si>
  <si>
    <t>A4264956189</t>
  </si>
  <si>
    <t>A3202524988</t>
  </si>
  <si>
    <t>A4331857439</t>
  </si>
  <si>
    <t>A4343432370</t>
  </si>
  <si>
    <t>A3167477360</t>
  </si>
  <si>
    <t>A4350603566</t>
  </si>
  <si>
    <t>A3121682066</t>
  </si>
  <si>
    <t>A4342226158</t>
  </si>
  <si>
    <t>A4353684774</t>
  </si>
  <si>
    <t>A2367292614</t>
  </si>
  <si>
    <t>A2412510935</t>
  </si>
  <si>
    <t>A4337954291</t>
  </si>
  <si>
    <t>A4332405343</t>
  </si>
  <si>
    <t>A4346006651</t>
  </si>
  <si>
    <t>A3122512260</t>
  </si>
  <si>
    <t>A2779242051</t>
  </si>
  <si>
    <t>A3124413621</t>
  </si>
  <si>
    <t>A2730248430</t>
  </si>
  <si>
    <t>A2728380984</t>
  </si>
  <si>
    <t>A4346868270</t>
  </si>
  <si>
    <t>A4350316051</t>
  </si>
  <si>
    <t>A4349861438</t>
  </si>
  <si>
    <t>A2907248344</t>
  </si>
  <si>
    <t>A3123393090</t>
  </si>
  <si>
    <t>A4334977251</t>
  </si>
  <si>
    <t>A4335009462</t>
  </si>
  <si>
    <t>A3088616538</t>
  </si>
  <si>
    <t>A2955681015</t>
  </si>
  <si>
    <t>A4330412957</t>
  </si>
  <si>
    <t>A3081725257</t>
  </si>
  <si>
    <t>A3114914588</t>
  </si>
  <si>
    <t>A2791757378</t>
  </si>
  <si>
    <t>A2954712890</t>
  </si>
  <si>
    <t>A3165510887</t>
  </si>
  <si>
    <t>A1967409064</t>
  </si>
  <si>
    <t>A3195562186</t>
  </si>
  <si>
    <t>A2980032117</t>
  </si>
  <si>
    <t>A3204271926</t>
  </si>
  <si>
    <t>A3203557396</t>
  </si>
  <si>
    <t>A4350410365</t>
  </si>
  <si>
    <t>A4300626819</t>
  </si>
  <si>
    <t>Petri Räsänen</t>
  </si>
  <si>
    <t>Rachel Mason-Jones</t>
  </si>
  <si>
    <t>Albert Bakhtizin</t>
  </si>
  <si>
    <t>Vladimir Salnikov</t>
  </si>
  <si>
    <t>Miguel Mira da Silva</t>
  </si>
  <si>
    <t>Yulia Lonshcikova</t>
  </si>
  <si>
    <t>Hossein Samavatyan</t>
  </si>
  <si>
    <t>Mats Benner</t>
  </si>
  <si>
    <t>Alexander S Mikhailov</t>
  </si>
  <si>
    <t>Ilya Tikhomirov</t>
  </si>
  <si>
    <t>Nicholas O'Regan</t>
  </si>
  <si>
    <t>Evgeniy Manchenko</t>
  </si>
  <si>
    <t>Thi Minh Hop Ho</t>
  </si>
  <si>
    <t>Aleksandr Arshavskiy</t>
  </si>
  <si>
    <t>Jie Xu</t>
  </si>
  <si>
    <t>Timothy J White</t>
  </si>
  <si>
    <t>James VanHuis</t>
  </si>
  <si>
    <t>Leonello Trivelli</t>
  </si>
  <si>
    <t>Jung-In Yeon</t>
  </si>
  <si>
    <t>Daniel Tobelmann</t>
  </si>
  <si>
    <t>Daniel Hernan-Hidalgo</t>
  </si>
  <si>
    <t>Seongryong Shin</t>
  </si>
  <si>
    <t>Ali Asghar Sadabadi</t>
  </si>
  <si>
    <t>Дмитрий Аркадьевич Котлов</t>
  </si>
  <si>
    <t>Алина Михайловна Пикалова</t>
  </si>
  <si>
    <t>М Кеппле-Палмер</t>
  </si>
  <si>
    <t>Фролов Игорь</t>
  </si>
  <si>
    <t>ВА Сальников</t>
  </si>
  <si>
    <t>Р Мейсон-Джонс</t>
  </si>
  <si>
    <t>Н О'Риган</t>
  </si>
  <si>
    <t>Башканова Вера</t>
  </si>
  <si>
    <t>АР Бахтизин</t>
  </si>
  <si>
    <t>М Мирафшар</t>
  </si>
  <si>
    <t>M Mirafshar</t>
  </si>
  <si>
    <t>Д Тёбельманн</t>
  </si>
  <si>
    <t>М Беннер</t>
  </si>
  <si>
    <t>Х Самаватиян</t>
  </si>
  <si>
    <t>Е А Манченко</t>
  </si>
  <si>
    <t>Далла Марина</t>
  </si>
  <si>
    <t>И А Тихомиров</t>
  </si>
  <si>
    <t>Ван Лицзюнь</t>
  </si>
  <si>
    <t>Александр Юрьевич Аршавский</t>
  </si>
  <si>
    <t>Хейченг Йен</t>
  </si>
  <si>
    <t>Йеон Джунг-Ин</t>
  </si>
  <si>
    <t>Юлия Лонщикова</t>
  </si>
  <si>
    <t>Джун Мира</t>
  </si>
  <si>
    <t>Бочарников Владимир</t>
  </si>
  <si>
    <t>Д Зу</t>
  </si>
  <si>
    <t>Масталеж Анджей</t>
  </si>
  <si>
    <t>Д Эрнан-Идальго</t>
  </si>
  <si>
    <t>Вудхюсен Джеймс</t>
  </si>
  <si>
    <t>Шин Сонг Рон</t>
  </si>
  <si>
    <t>Томас И Уайт</t>
  </si>
  <si>
    <t>А Садабади</t>
  </si>
  <si>
    <t>Л Тривелли</t>
  </si>
  <si>
    <t>Arend J Groen</t>
  </si>
  <si>
    <t>A4342568877</t>
  </si>
  <si>
    <t>A3016862176</t>
  </si>
  <si>
    <t>A3123567793</t>
  </si>
  <si>
    <t>A4340752156</t>
  </si>
  <si>
    <t>A4209275214</t>
  </si>
  <si>
    <t>A4207532043</t>
  </si>
  <si>
    <t>A2779788105</t>
  </si>
  <si>
    <t>A4353787430</t>
  </si>
  <si>
    <t>A2196743485</t>
  </si>
  <si>
    <t>A4209121993</t>
  </si>
  <si>
    <t>A4356746827</t>
  </si>
  <si>
    <t>A3201750666</t>
  </si>
  <si>
    <t>A3204632647</t>
  </si>
  <si>
    <t>A4347739811</t>
  </si>
  <si>
    <t>A3125474927</t>
  </si>
  <si>
    <t>A2488786316</t>
  </si>
  <si>
    <t>A2730286985</t>
  </si>
  <si>
    <t>A4344913883</t>
  </si>
  <si>
    <t>A4332100681</t>
  </si>
  <si>
    <t>A4338644404</t>
  </si>
  <si>
    <t>A4352682434</t>
  </si>
  <si>
    <t>A4331357545</t>
  </si>
  <si>
    <t>A3035568519</t>
  </si>
  <si>
    <t>A3118037359</t>
  </si>
  <si>
    <t>A4338340156</t>
  </si>
  <si>
    <t>A3165392901</t>
  </si>
  <si>
    <t>A3195260205</t>
  </si>
  <si>
    <t>A4208130434</t>
  </si>
  <si>
    <t>Ashkhen Nanavyan</t>
  </si>
  <si>
    <t>Ekaterina Nikiforova</t>
  </si>
  <si>
    <t>Eva Rollnik-Sadowska</t>
  </si>
  <si>
    <t>Mohammad Hossein Yarmohammadian</t>
  </si>
  <si>
    <t>Vladimir Dovgiy</t>
  </si>
  <si>
    <t>Quang Vinh Nguyen</t>
  </si>
  <si>
    <t>Abdullah Abrizah</t>
  </si>
  <si>
    <t>Haydar Yalcin</t>
  </si>
  <si>
    <t>David Sanchez-Grisales</t>
  </si>
  <si>
    <t>Nikolay Gorodnyi</t>
  </si>
  <si>
    <t>АМ Нанавян</t>
  </si>
  <si>
    <t>А Азарибени</t>
  </si>
  <si>
    <t>Adel Azaribeni</t>
  </si>
  <si>
    <t>М Ярмохаммадиан</t>
  </si>
  <si>
    <t>ВТ Довгий</t>
  </si>
  <si>
    <t>Дж-Х Ли</t>
  </si>
  <si>
    <t>Нгуен Конг Там</t>
  </si>
  <si>
    <t>ЕМ Никифорова</t>
  </si>
  <si>
    <t>Э Роллник-Садовска</t>
  </si>
  <si>
    <t>А Абризах</t>
  </si>
  <si>
    <t>Ринг-Агне Эва</t>
  </si>
  <si>
    <t>Д Санчес-Грисалес</t>
  </si>
  <si>
    <t>Ялсин Хайдар</t>
  </si>
  <si>
    <t>A4353671963</t>
  </si>
  <si>
    <t>A4352970485</t>
  </si>
  <si>
    <t>A4209275215</t>
  </si>
  <si>
    <t>A4207532044</t>
  </si>
  <si>
    <t>A4355741175</t>
  </si>
  <si>
    <t>A2584153463</t>
  </si>
  <si>
    <t>A4209121994</t>
  </si>
  <si>
    <t>A4358435057</t>
  </si>
  <si>
    <t>A3121469008</t>
  </si>
  <si>
    <t>A1869071835</t>
  </si>
  <si>
    <t>A4335851461</t>
  </si>
  <si>
    <t>A2944589921</t>
  </si>
  <si>
    <t>A4330631712</t>
  </si>
  <si>
    <t>A3034412152</t>
  </si>
  <si>
    <t>A3114149190</t>
  </si>
  <si>
    <t>A3127358083</t>
  </si>
  <si>
    <t>A3193854698</t>
  </si>
  <si>
    <t>A4208130435</t>
  </si>
  <si>
    <t>Joanicjusz Nazarko</t>
  </si>
  <si>
    <t>Justyna Kozlowska</t>
  </si>
  <si>
    <t>Nguyen Quoc Khanh Le</t>
  </si>
  <si>
    <t>Blanca Rodríguez-Bravo</t>
  </si>
  <si>
    <t>Xiaoli Wang</t>
  </si>
  <si>
    <t>М Резапур</t>
  </si>
  <si>
    <t>Morteza Rezapour</t>
  </si>
  <si>
    <t>Ле Дык Ан</t>
  </si>
  <si>
    <t>Йоаницьюш Назарко</t>
  </si>
  <si>
    <t>Ю Козловска</t>
  </si>
  <si>
    <t>Б Родригес-Браво</t>
  </si>
  <si>
    <t>Козловска Юстына</t>
  </si>
  <si>
    <t>Ванг Сяоли</t>
  </si>
  <si>
    <t>A4331343405</t>
  </si>
  <si>
    <t>A4207532045</t>
  </si>
  <si>
    <t>A4358744874</t>
  </si>
  <si>
    <t>A2651723379</t>
  </si>
  <si>
    <t>A2186300045</t>
  </si>
  <si>
    <t>A2944350285</t>
  </si>
  <si>
    <t>A3116654853</t>
  </si>
  <si>
    <t>A4348616102</t>
  </si>
  <si>
    <t>Łukasz Nazarko</t>
  </si>
  <si>
    <t>Chérifa Boukacem-Zeghmouri</t>
  </si>
  <si>
    <t>Баратова Нури</t>
  </si>
  <si>
    <t>Behrouz Nouri</t>
  </si>
  <si>
    <t>Лукаш Назарко</t>
  </si>
  <si>
    <t>Ш Букасем-Зегмури</t>
  </si>
  <si>
    <t>Соснина Анна</t>
  </si>
  <si>
    <t>A2627812041</t>
  </si>
  <si>
    <t>A4344324415</t>
  </si>
  <si>
    <t>A2944212432</t>
  </si>
  <si>
    <t>A4335729256</t>
  </si>
  <si>
    <t>Danuta Szpilko</t>
  </si>
  <si>
    <t>Tatiana Polezhaeva</t>
  </si>
  <si>
    <t>Данута Шпилько</t>
  </si>
  <si>
    <t>Т В Полежаева</t>
  </si>
  <si>
    <t>A172432981</t>
  </si>
  <si>
    <t>A4359218663</t>
  </si>
  <si>
    <t>A2944307643</t>
  </si>
  <si>
    <t>A3116885789</t>
  </si>
  <si>
    <t>Urszula Widelska</t>
  </si>
  <si>
    <t>Marzena Świgoń</t>
  </si>
  <si>
    <t>Уршула Видельска</t>
  </si>
  <si>
    <t>М Швигон</t>
  </si>
  <si>
    <t>f</t>
  </si>
  <si>
    <t>???</t>
  </si>
  <si>
    <t>m</t>
  </si>
  <si>
    <t>f для статьи</t>
  </si>
  <si>
    <t>m для статьи</t>
  </si>
  <si>
    <t>суммы по годам</t>
  </si>
  <si>
    <t>ж</t>
  </si>
  <si>
    <t>м</t>
  </si>
  <si>
    <t>mean(ж)</t>
  </si>
  <si>
    <t>mean(м)</t>
  </si>
  <si>
    <t>всего</t>
  </si>
  <si>
    <t>Всего</t>
  </si>
  <si>
    <t>доля</t>
  </si>
  <si>
    <t>доля ж</t>
  </si>
  <si>
    <t>доля м</t>
  </si>
  <si>
    <t>все м</t>
  </si>
  <si>
    <t>кол-во ж</t>
  </si>
  <si>
    <t>кол-во м</t>
  </si>
  <si>
    <t xml:space="preserve">все ж </t>
  </si>
  <si>
    <t>кол-во ???</t>
  </si>
  <si>
    <t>один ???</t>
  </si>
  <si>
    <t>смешанный</t>
  </si>
  <si>
    <t>доля:</t>
  </si>
  <si>
    <t>доля_1</t>
  </si>
  <si>
    <t>доля_2</t>
  </si>
  <si>
    <t>доля_3</t>
  </si>
  <si>
    <t>Цитирования</t>
  </si>
  <si>
    <t>цитирования:</t>
  </si>
  <si>
    <t>среднее всего</t>
  </si>
  <si>
    <t>смеш</t>
  </si>
  <si>
    <t>со ???</t>
  </si>
  <si>
    <t>mean_1</t>
  </si>
  <si>
    <t>mean_2</t>
  </si>
  <si>
    <t>mean_3</t>
  </si>
  <si>
    <t>медиана</t>
  </si>
  <si>
    <t>MEDIANA_1</t>
  </si>
  <si>
    <t>MEDIANA_2</t>
  </si>
  <si>
    <t>MEDIANA_3</t>
  </si>
  <si>
    <t>Q1</t>
  </si>
  <si>
    <t>Q2</t>
  </si>
  <si>
    <t>Q3</t>
  </si>
  <si>
    <t>состав</t>
  </si>
  <si>
    <t>все ж</t>
  </si>
  <si>
    <t>Число цитирований</t>
  </si>
  <si>
    <t>Все ж</t>
  </si>
  <si>
    <t>Все м</t>
  </si>
  <si>
    <t>Смешанный тип</t>
  </si>
  <si>
    <t>Дробный счет</t>
  </si>
  <si>
    <t>Женщины:</t>
  </si>
  <si>
    <t>по годам</t>
  </si>
  <si>
    <t>Дробный счет_ж</t>
  </si>
  <si>
    <t>Среднее число цитирований</t>
  </si>
  <si>
    <t>в соавторстве</t>
  </si>
  <si>
    <t>одним автором</t>
  </si>
  <si>
    <t>Зависимости:</t>
  </si>
  <si>
    <t>ЗАДАНИЕ 3</t>
  </si>
  <si>
    <t>авторы и цитирования</t>
  </si>
  <si>
    <t>мужчины и цитирования</t>
  </si>
  <si>
    <t>женщины и цитирования</t>
  </si>
  <si>
    <t>Статьи, написанные одним автором и среднее число цитирований</t>
  </si>
  <si>
    <t>женщины</t>
  </si>
  <si>
    <t>мужчины</t>
  </si>
  <si>
    <t>Доля … в соавторстве</t>
  </si>
  <si>
    <t>ДР_СЧ ЦИТИРОВАНИЙ</t>
  </si>
  <si>
    <t>Цитирования(дробный счёт)</t>
  </si>
  <si>
    <t>Задание 2.9</t>
  </si>
  <si>
    <t>Задание 2.7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</si>
</sst>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i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0.59999389629810485"/>
        <bgColor indexed="64"/>
      </patternFill>
    </fill>
  </fills>
  <borders count="2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9" fontId="3" fillId="0" borderId="0" applyFont="0" applyFill="0" applyBorder="0" applyAlignment="0" applyProtection="0"/>
  </cellStyleXfs>
  <cellXfs count="55">
    <xf numFmtId="0" fontId="0" fillId="0" borderId="0" xfId="0"/>
    <xf numFmtId="0" fontId="1" fillId="0" borderId="1" xfId="0" applyFont="1" applyBorder="1" applyAlignment="1">
      <alignment horizontal="center" vertical="top"/>
    </xf>
    <xf numFmtId="0" fontId="2" fillId="0" borderId="0" xfId="1" applyAlignment="1" applyProtection="1"/>
    <xf numFmtId="0" fontId="1" fillId="0" borderId="2" xfId="0" applyFont="1" applyFill="1" applyBorder="1" applyAlignment="1">
      <alignment horizontal="center" vertical="top"/>
    </xf>
    <xf numFmtId="0" fontId="4" fillId="0" borderId="0" xfId="0" applyFont="1"/>
    <xf numFmtId="0" fontId="4" fillId="0" borderId="1" xfId="0" applyFont="1" applyBorder="1"/>
    <xf numFmtId="0" fontId="0" fillId="0" borderId="1" xfId="0" applyBorder="1"/>
    <xf numFmtId="0" fontId="4" fillId="0" borderId="3" xfId="0" applyFont="1" applyBorder="1"/>
    <xf numFmtId="0" fontId="0" fillId="0" borderId="4" xfId="0" applyBorder="1"/>
    <xf numFmtId="0" fontId="0" fillId="0" borderId="6" xfId="0" applyBorder="1"/>
    <xf numFmtId="0" fontId="0" fillId="0" borderId="8" xfId="0" applyBorder="1"/>
    <xf numFmtId="0" fontId="0" fillId="0" borderId="9" xfId="0" applyBorder="1"/>
    <xf numFmtId="2" fontId="0" fillId="0" borderId="1" xfId="0" applyNumberFormat="1" applyBorder="1"/>
    <xf numFmtId="2" fontId="0" fillId="0" borderId="7" xfId="0" applyNumberFormat="1" applyBorder="1"/>
    <xf numFmtId="2" fontId="0" fillId="0" borderId="9" xfId="0" applyNumberFormat="1" applyBorder="1"/>
    <xf numFmtId="2" fontId="0" fillId="0" borderId="10" xfId="0" applyNumberFormat="1" applyBorder="1"/>
    <xf numFmtId="0" fontId="4" fillId="0" borderId="4" xfId="0" applyFont="1" applyBorder="1"/>
    <xf numFmtId="0" fontId="4" fillId="0" borderId="5" xfId="0" applyFont="1" applyBorder="1"/>
    <xf numFmtId="0" fontId="4" fillId="0" borderId="9" xfId="0" applyFont="1" applyBorder="1"/>
    <xf numFmtId="9" fontId="0" fillId="0" borderId="0" xfId="2" applyFont="1"/>
    <xf numFmtId="0" fontId="4" fillId="0" borderId="0" xfId="0" applyFont="1" applyFill="1" applyBorder="1"/>
    <xf numFmtId="0" fontId="0" fillId="2" borderId="0" xfId="0" applyFill="1"/>
    <xf numFmtId="0" fontId="0" fillId="3" borderId="0" xfId="0" applyFill="1"/>
    <xf numFmtId="0" fontId="0" fillId="4" borderId="0" xfId="0" applyFill="1"/>
    <xf numFmtId="0" fontId="4" fillId="0" borderId="4" xfId="0" applyFont="1" applyFill="1" applyBorder="1"/>
    <xf numFmtId="0" fontId="4" fillId="0" borderId="5" xfId="0" applyFont="1" applyFill="1" applyBorder="1"/>
    <xf numFmtId="9" fontId="0" fillId="0" borderId="1" xfId="2" applyFont="1" applyBorder="1"/>
    <xf numFmtId="2" fontId="0" fillId="0" borderId="1" xfId="2" applyNumberFormat="1" applyFont="1" applyBorder="1"/>
    <xf numFmtId="2" fontId="0" fillId="0" borderId="0" xfId="0" applyNumberFormat="1"/>
    <xf numFmtId="0" fontId="4" fillId="0" borderId="2" xfId="0" applyFont="1" applyFill="1" applyBorder="1"/>
    <xf numFmtId="0" fontId="0" fillId="0" borderId="0" xfId="0" applyFill="1" applyBorder="1" applyAlignment="1"/>
    <xf numFmtId="0" fontId="0" fillId="0" borderId="11" xfId="0" applyFill="1" applyBorder="1" applyAlignment="1"/>
    <xf numFmtId="0" fontId="5" fillId="0" borderId="12" xfId="0" applyFont="1" applyFill="1" applyBorder="1" applyAlignment="1">
      <alignment horizontal="center"/>
    </xf>
    <xf numFmtId="2" fontId="0" fillId="0" borderId="0" xfId="0" applyNumberFormat="1" applyFill="1" applyBorder="1" applyAlignment="1"/>
    <xf numFmtId="2" fontId="0" fillId="0" borderId="11" xfId="0" applyNumberFormat="1" applyFill="1" applyBorder="1" applyAlignment="1"/>
    <xf numFmtId="0" fontId="0" fillId="0" borderId="3" xfId="0" applyBorder="1"/>
    <xf numFmtId="0" fontId="4" fillId="0" borderId="6" xfId="0" applyFont="1" applyBorder="1"/>
    <xf numFmtId="0" fontId="4" fillId="0" borderId="8" xfId="0" applyFont="1" applyBorder="1"/>
    <xf numFmtId="0" fontId="0" fillId="0" borderId="5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0" xfId="0" applyBorder="1"/>
    <xf numFmtId="0" fontId="0" fillId="0" borderId="17" xfId="0" applyBorder="1"/>
    <xf numFmtId="2" fontId="0" fillId="0" borderId="0" xfId="0" applyNumberFormat="1" applyBorder="1"/>
    <xf numFmtId="10" fontId="0" fillId="0" borderId="0" xfId="0" applyNumberFormat="1" applyBorder="1"/>
    <xf numFmtId="0" fontId="0" fillId="0" borderId="18" xfId="0" applyBorder="1"/>
    <xf numFmtId="0" fontId="0" fillId="0" borderId="11" xfId="0" applyBorder="1"/>
    <xf numFmtId="0" fontId="0" fillId="0" borderId="19" xfId="0" applyBorder="1"/>
    <xf numFmtId="0" fontId="4" fillId="0" borderId="14" xfId="0" applyFont="1" applyBorder="1" applyAlignment="1">
      <alignment horizontal="center"/>
    </xf>
    <xf numFmtId="0" fontId="4" fillId="0" borderId="0" xfId="0" applyFont="1" applyAlignment="1">
      <alignment horizontal="center"/>
    </xf>
    <xf numFmtId="0" fontId="0" fillId="0" borderId="14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0" xfId="0" applyBorder="1" applyAlignment="1">
      <alignment horizontal="center"/>
    </xf>
  </cellXfs>
  <cellStyles count="3">
    <cellStyle name="Гиперссылка" xfId="1" builtinId="8"/>
    <cellStyle name="Обычный" xfId="0" builtinId="0"/>
    <cellStyle name="Процентный" xfId="2" builtinId="5"/>
  </cellStyles>
  <dxfs count="3"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Среднее число авторов женщин и мужчин по годам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Женщины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Расчёты!$X$367:$X$373</c:f>
              <c:numCache>
                <c:formatCode>General</c:formatCode>
                <c:ptCount val="7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</c:numCache>
            </c:numRef>
          </c:cat>
          <c:val>
            <c:numRef>
              <c:f>Расчёты!$AB$367:$AB$373</c:f>
              <c:numCache>
                <c:formatCode>0.00</c:formatCode>
                <c:ptCount val="7"/>
                <c:pt idx="0">
                  <c:v>2.3684210526315788</c:v>
                </c:pt>
                <c:pt idx="1">
                  <c:v>2.2307692307692308</c:v>
                </c:pt>
                <c:pt idx="2">
                  <c:v>1.5522388059701493</c:v>
                </c:pt>
                <c:pt idx="3">
                  <c:v>2.4137931034482758</c:v>
                </c:pt>
                <c:pt idx="4">
                  <c:v>1.5483870967741935</c:v>
                </c:pt>
                <c:pt idx="5">
                  <c:v>2.2162162162162162</c:v>
                </c:pt>
                <c:pt idx="6">
                  <c:v>1.7540983606557377</c:v>
                </c:pt>
              </c:numCache>
            </c:numRef>
          </c:val>
        </c:ser>
        <c:ser>
          <c:idx val="1"/>
          <c:order val="1"/>
          <c:tx>
            <c:v>Мужчины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Расчёты!$X$367:$X$373</c:f>
              <c:numCache>
                <c:formatCode>General</c:formatCode>
                <c:ptCount val="7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</c:numCache>
            </c:numRef>
          </c:cat>
          <c:val>
            <c:numRef>
              <c:f>Расчёты!$AC$367:$AC$373</c:f>
              <c:numCache>
                <c:formatCode>0.00</c:formatCode>
                <c:ptCount val="7"/>
                <c:pt idx="0">
                  <c:v>1.7307692307692308</c:v>
                </c:pt>
                <c:pt idx="1">
                  <c:v>1.8125</c:v>
                </c:pt>
                <c:pt idx="2">
                  <c:v>2.810810810810811</c:v>
                </c:pt>
                <c:pt idx="3">
                  <c:v>1.7073170731707317</c:v>
                </c:pt>
                <c:pt idx="4">
                  <c:v>2.8235294117647061</c:v>
                </c:pt>
                <c:pt idx="5">
                  <c:v>1.8222222222222222</c:v>
                </c:pt>
                <c:pt idx="6">
                  <c:v>2.3260869565217392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75180520"/>
        <c:axId val="275182088"/>
      </c:barChart>
      <c:catAx>
        <c:axId val="2751805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Год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75182088"/>
        <c:crosses val="autoZero"/>
        <c:auto val="1"/>
        <c:lblAlgn val="ctr"/>
        <c:lblOffset val="100"/>
        <c:noMultiLvlLbl val="0"/>
      </c:catAx>
      <c:valAx>
        <c:axId val="275182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Среднее число авторов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751805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Доля авторов</a:t>
            </a:r>
            <a:r>
              <a:rPr lang="ru-RU" baseline="0"/>
              <a:t> женщин и мужчин по годам</a:t>
            </a:r>
            <a:endParaRPr lang="ru-RU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Женщины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Расчёты!$X$367:$X$373</c:f>
              <c:numCache>
                <c:formatCode>General</c:formatCode>
                <c:ptCount val="7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</c:numCache>
            </c:numRef>
          </c:cat>
          <c:val>
            <c:numRef>
              <c:f>Расчёты!$AE$367:$AE$373</c:f>
              <c:numCache>
                <c:formatCode>0%</c:formatCode>
                <c:ptCount val="7"/>
                <c:pt idx="0">
                  <c:v>0.42222222222222222</c:v>
                </c:pt>
                <c:pt idx="1">
                  <c:v>0.44827586206896552</c:v>
                </c:pt>
                <c:pt idx="2">
                  <c:v>0.64423076923076927</c:v>
                </c:pt>
                <c:pt idx="3">
                  <c:v>0.41428571428571431</c:v>
                </c:pt>
                <c:pt idx="4">
                  <c:v>0.64583333333333337</c:v>
                </c:pt>
                <c:pt idx="5">
                  <c:v>0.45121951219512196</c:v>
                </c:pt>
                <c:pt idx="6">
                  <c:v>0.57009345794392519</c:v>
                </c:pt>
              </c:numCache>
            </c:numRef>
          </c:val>
        </c:ser>
        <c:ser>
          <c:idx val="1"/>
          <c:order val="1"/>
          <c:tx>
            <c:v>Мужчины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Расчёты!$X$367:$X$373</c:f>
              <c:numCache>
                <c:formatCode>General</c:formatCode>
                <c:ptCount val="7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</c:numCache>
            </c:numRef>
          </c:cat>
          <c:val>
            <c:numRef>
              <c:f>Расчёты!$AF$367:$AF$373</c:f>
              <c:numCache>
                <c:formatCode>0%</c:formatCode>
                <c:ptCount val="7"/>
                <c:pt idx="0">
                  <c:v>0.57777777777777772</c:v>
                </c:pt>
                <c:pt idx="1">
                  <c:v>0.55172413793103448</c:v>
                </c:pt>
                <c:pt idx="2">
                  <c:v>0.35576923076923078</c:v>
                </c:pt>
                <c:pt idx="3">
                  <c:v>0.58571428571428574</c:v>
                </c:pt>
                <c:pt idx="4">
                  <c:v>0.35416666666666669</c:v>
                </c:pt>
                <c:pt idx="5">
                  <c:v>0.54878048780487809</c:v>
                </c:pt>
                <c:pt idx="6">
                  <c:v>0.42990654205607476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308890520"/>
        <c:axId val="308889344"/>
      </c:barChart>
      <c:catAx>
        <c:axId val="3088905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Год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08889344"/>
        <c:crosses val="autoZero"/>
        <c:auto val="1"/>
        <c:lblAlgn val="ctr"/>
        <c:lblOffset val="100"/>
        <c:noMultiLvlLbl val="0"/>
      </c:catAx>
      <c:valAx>
        <c:axId val="3088893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Доля,</a:t>
                </a:r>
                <a:r>
                  <a:rPr lang="ru-RU" baseline="0"/>
                  <a:t> %</a:t>
                </a:r>
                <a:endParaRPr lang="ru-RU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088905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Доли</a:t>
            </a:r>
            <a:r>
              <a:rPr lang="ru-RU" baseline="0"/>
              <a:t> статей каждого типа по годам</a:t>
            </a:r>
            <a:endParaRPr lang="ru-RU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Только женщины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Расчёты!$AN$368:$AN$374</c:f>
              <c:numCache>
                <c:formatCode>General</c:formatCode>
                <c:ptCount val="7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</c:numCache>
            </c:numRef>
          </c:cat>
          <c:val>
            <c:numRef>
              <c:f>Расчёты!$AS$368:$AS$374</c:f>
              <c:numCache>
                <c:formatCode>0%</c:formatCode>
                <c:ptCount val="7"/>
                <c:pt idx="0">
                  <c:v>0.17241379310344829</c:v>
                </c:pt>
                <c:pt idx="1">
                  <c:v>0.13333333333333333</c:v>
                </c:pt>
                <c:pt idx="2">
                  <c:v>0.25</c:v>
                </c:pt>
                <c:pt idx="3">
                  <c:v>9.8039215686274508E-2</c:v>
                </c:pt>
                <c:pt idx="4">
                  <c:v>0.2</c:v>
                </c:pt>
                <c:pt idx="5">
                  <c:v>0.14285714285714285</c:v>
                </c:pt>
                <c:pt idx="6">
                  <c:v>0.06</c:v>
                </c:pt>
              </c:numCache>
            </c:numRef>
          </c:val>
        </c:ser>
        <c:ser>
          <c:idx val="1"/>
          <c:order val="1"/>
          <c:tx>
            <c:v>Только мужчины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Расчёты!$AN$368:$AN$374</c:f>
              <c:numCache>
                <c:formatCode>General</c:formatCode>
                <c:ptCount val="7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</c:numCache>
            </c:numRef>
          </c:cat>
          <c:val>
            <c:numRef>
              <c:f>Расчёты!$AT$368:$AT$374</c:f>
              <c:numCache>
                <c:formatCode>0%</c:formatCode>
                <c:ptCount val="7"/>
                <c:pt idx="0">
                  <c:v>0.17241379310344829</c:v>
                </c:pt>
                <c:pt idx="1">
                  <c:v>4.4444444444444446E-2</c:v>
                </c:pt>
                <c:pt idx="2">
                  <c:v>9.375E-2</c:v>
                </c:pt>
                <c:pt idx="3">
                  <c:v>0.27450980392156865</c:v>
                </c:pt>
                <c:pt idx="4">
                  <c:v>0.13333333333333333</c:v>
                </c:pt>
                <c:pt idx="5">
                  <c:v>0.22222222222222221</c:v>
                </c:pt>
                <c:pt idx="6">
                  <c:v>0.08</c:v>
                </c:pt>
              </c:numCache>
            </c:numRef>
          </c:val>
        </c:ser>
        <c:ser>
          <c:idx val="2"/>
          <c:order val="2"/>
          <c:tx>
            <c:v>Смешанный тип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Расчёты!$AN$368:$AN$374</c:f>
              <c:numCache>
                <c:formatCode>General</c:formatCode>
                <c:ptCount val="7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</c:numCache>
            </c:numRef>
          </c:cat>
          <c:val>
            <c:numRef>
              <c:f>Расчёты!$AU$368:$AU$374</c:f>
              <c:numCache>
                <c:formatCode>0%</c:formatCode>
                <c:ptCount val="7"/>
                <c:pt idx="0">
                  <c:v>0.65517241379310343</c:v>
                </c:pt>
                <c:pt idx="1">
                  <c:v>0.82222222222222219</c:v>
                </c:pt>
                <c:pt idx="2">
                  <c:v>0.65625</c:v>
                </c:pt>
                <c:pt idx="3">
                  <c:v>0.62745098039215685</c:v>
                </c:pt>
                <c:pt idx="4">
                  <c:v>0.66666666666666663</c:v>
                </c:pt>
                <c:pt idx="5">
                  <c:v>0.63492063492063489</c:v>
                </c:pt>
                <c:pt idx="6">
                  <c:v>0.86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308889736"/>
        <c:axId val="308885816"/>
      </c:barChart>
      <c:catAx>
        <c:axId val="30888973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Год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08885816"/>
        <c:crosses val="autoZero"/>
        <c:auto val="1"/>
        <c:lblAlgn val="ctr"/>
        <c:lblOffset val="100"/>
        <c:noMultiLvlLbl val="0"/>
      </c:catAx>
      <c:valAx>
        <c:axId val="308885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Доля, %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088897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400" b="0" i="0" u="none" strike="noStrike" baseline="0">
                <a:effectLst/>
              </a:rPr>
              <a:t>Среднее количество цитирований по годам</a:t>
            </a:r>
            <a:endParaRPr lang="ru-RU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Женщины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Расчёты!$AE$398:$AE$404</c:f>
              <c:numCache>
                <c:formatCode>General</c:formatCode>
                <c:ptCount val="7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</c:numCache>
            </c:numRef>
          </c:cat>
          <c:val>
            <c:numRef>
              <c:f>Расчёты!$AJ$398:$AJ$404</c:f>
              <c:numCache>
                <c:formatCode>0.00</c:formatCode>
                <c:ptCount val="7"/>
                <c:pt idx="0">
                  <c:v>4.041666666666667</c:v>
                </c:pt>
                <c:pt idx="1">
                  <c:v>4.6190476190476186</c:v>
                </c:pt>
                <c:pt idx="2">
                  <c:v>0.91509433962264153</c:v>
                </c:pt>
                <c:pt idx="3">
                  <c:v>3.5925925925925926</c:v>
                </c:pt>
                <c:pt idx="4">
                  <c:v>1.2933333333333332</c:v>
                </c:pt>
                <c:pt idx="5">
                  <c:v>4.6190476190476186</c:v>
                </c:pt>
                <c:pt idx="6">
                  <c:v>8.8181818181818183</c:v>
                </c:pt>
              </c:numCache>
            </c:numRef>
          </c:val>
        </c:ser>
        <c:ser>
          <c:idx val="1"/>
          <c:order val="1"/>
          <c:tx>
            <c:v>Мужчины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Расчёты!$AE$398:$AE$404</c:f>
              <c:numCache>
                <c:formatCode>General</c:formatCode>
                <c:ptCount val="7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</c:numCache>
            </c:numRef>
          </c:cat>
          <c:val>
            <c:numRef>
              <c:f>Расчёты!$AK$398:$AK$404</c:f>
              <c:numCache>
                <c:formatCode>0.00</c:formatCode>
                <c:ptCount val="7"/>
                <c:pt idx="0">
                  <c:v>3.3448275862068964</c:v>
                </c:pt>
                <c:pt idx="1">
                  <c:v>2.2558139534883721</c:v>
                </c:pt>
                <c:pt idx="2">
                  <c:v>1.6166666666666667</c:v>
                </c:pt>
                <c:pt idx="3">
                  <c:v>2.2045454545454546</c:v>
                </c:pt>
                <c:pt idx="4">
                  <c:v>1.6166666666666667</c:v>
                </c:pt>
                <c:pt idx="5">
                  <c:v>2.8529411764705883</c:v>
                </c:pt>
                <c:pt idx="6">
                  <c:v>24.25</c:v>
                </c:pt>
              </c:numCache>
            </c:numRef>
          </c:val>
        </c:ser>
        <c:ser>
          <c:idx val="2"/>
          <c:order val="2"/>
          <c:tx>
            <c:v>Смешанный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Расчёты!$AE$398:$AE$404</c:f>
              <c:numCache>
                <c:formatCode>General</c:formatCode>
                <c:ptCount val="7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</c:numCache>
            </c:numRef>
          </c:cat>
          <c:val>
            <c:numRef>
              <c:f>Расчёты!$AL$398:$AL$404</c:f>
              <c:numCache>
                <c:formatCode>0.00</c:formatCode>
                <c:ptCount val="7"/>
                <c:pt idx="0">
                  <c:v>2.2045454545454546</c:v>
                </c:pt>
                <c:pt idx="1">
                  <c:v>0.70289855072463769</c:v>
                </c:pt>
                <c:pt idx="2">
                  <c:v>0.89814814814814814</c:v>
                </c:pt>
                <c:pt idx="3">
                  <c:v>48.5</c:v>
                </c:pt>
                <c:pt idx="4">
                  <c:v>1.7636363636363637</c:v>
                </c:pt>
                <c:pt idx="5">
                  <c:v>2.5526315789473686</c:v>
                </c:pt>
                <c:pt idx="6">
                  <c:v>3.88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308886992"/>
        <c:axId val="308884640"/>
      </c:barChart>
      <c:catAx>
        <c:axId val="30888699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Год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08884640"/>
        <c:crosses val="autoZero"/>
        <c:auto val="1"/>
        <c:lblAlgn val="ctr"/>
        <c:lblOffset val="100"/>
        <c:noMultiLvlLbl val="0"/>
      </c:catAx>
      <c:valAx>
        <c:axId val="308884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Среднее</a:t>
                </a:r>
              </a:p>
            </c:rich>
          </c:tx>
          <c:layout>
            <c:manualLayout>
              <c:xMode val="edge"/>
              <c:yMode val="edge"/>
              <c:x val="3.0555555555555555E-2"/>
              <c:y val="0.3355595654709828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088869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Медианные значения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Женщины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Расчёты!$AE$398:$AE$404</c:f>
              <c:numCache>
                <c:formatCode>General</c:formatCode>
                <c:ptCount val="7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</c:numCache>
            </c:numRef>
          </c:cat>
          <c:val>
            <c:numRef>
              <c:f>Расчёты!$AM$398:$AM$404</c:f>
              <c:numCache>
                <c:formatCode>General</c:formatCode>
                <c:ptCount val="7"/>
                <c:pt idx="0">
                  <c:v>5</c:v>
                </c:pt>
                <c:pt idx="1">
                  <c:v>1</c:v>
                </c:pt>
                <c:pt idx="2">
                  <c:v>5</c:v>
                </c:pt>
                <c:pt idx="3">
                  <c:v>4</c:v>
                </c:pt>
                <c:pt idx="4">
                  <c:v>5</c:v>
                </c:pt>
                <c:pt idx="5">
                  <c:v>1</c:v>
                </c:pt>
                <c:pt idx="6">
                  <c:v>4</c:v>
                </c:pt>
              </c:numCache>
            </c:numRef>
          </c:val>
        </c:ser>
        <c:ser>
          <c:idx val="1"/>
          <c:order val="1"/>
          <c:tx>
            <c:v>Мужчины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Расчёты!$AE$398:$AE$404</c:f>
              <c:numCache>
                <c:formatCode>General</c:formatCode>
                <c:ptCount val="7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</c:numCache>
            </c:numRef>
          </c:cat>
          <c:val>
            <c:numRef>
              <c:f>Расчёты!$AN$398:$AN$404</c:f>
              <c:numCache>
                <c:formatCode>General</c:formatCode>
                <c:ptCount val="7"/>
                <c:pt idx="0">
                  <c:v>0</c:v>
                </c:pt>
                <c:pt idx="1">
                  <c:v>21.5</c:v>
                </c:pt>
                <c:pt idx="2">
                  <c:v>4.5</c:v>
                </c:pt>
                <c:pt idx="3">
                  <c:v>2.5</c:v>
                </c:pt>
                <c:pt idx="4">
                  <c:v>3</c:v>
                </c:pt>
                <c:pt idx="5">
                  <c:v>3</c:v>
                </c:pt>
                <c:pt idx="6">
                  <c:v>0.5</c:v>
                </c:pt>
              </c:numCache>
            </c:numRef>
          </c:val>
        </c:ser>
        <c:ser>
          <c:idx val="2"/>
          <c:order val="2"/>
          <c:tx>
            <c:v>Смешанный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Расчёты!$AE$398:$AE$404</c:f>
              <c:numCache>
                <c:formatCode>General</c:formatCode>
                <c:ptCount val="7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</c:numCache>
            </c:numRef>
          </c:cat>
          <c:val>
            <c:numRef>
              <c:f>Расчёты!$AO$398:$AO$404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308887776"/>
        <c:axId val="308886600"/>
      </c:barChart>
      <c:catAx>
        <c:axId val="30888777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Год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08886600"/>
        <c:crosses val="autoZero"/>
        <c:auto val="1"/>
        <c:lblAlgn val="ctr"/>
        <c:lblOffset val="100"/>
        <c:noMultiLvlLbl val="0"/>
      </c:catAx>
      <c:valAx>
        <c:axId val="308886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Медианное значение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088877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Суммарный вклад</a:t>
            </a:r>
            <a:r>
              <a:rPr lang="ru-RU" baseline="0"/>
              <a:t> всех женщин-авторов по годам</a:t>
            </a:r>
            <a:endParaRPr lang="ru-RU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Расчёты!$K$401:$K$407</c:f>
              <c:numCache>
                <c:formatCode>General</c:formatCode>
                <c:ptCount val="7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</c:numCache>
            </c:numRef>
          </c:cat>
          <c:val>
            <c:numRef>
              <c:f>Расчёты!$L$401:$L$407</c:f>
              <c:numCache>
                <c:formatCode>0.00</c:formatCode>
                <c:ptCount val="7"/>
                <c:pt idx="0">
                  <c:v>0.47540509259259256</c:v>
                </c:pt>
                <c:pt idx="1">
                  <c:v>0.44307208994708991</c:v>
                </c:pt>
                <c:pt idx="2">
                  <c:v>0.42661769005847949</c:v>
                </c:pt>
                <c:pt idx="3">
                  <c:v>0.40339424951267056</c:v>
                </c:pt>
                <c:pt idx="4">
                  <c:v>0.40717492351815487</c:v>
                </c:pt>
                <c:pt idx="5">
                  <c:v>0.54372228219345498</c:v>
                </c:pt>
                <c:pt idx="6">
                  <c:v>0.24930597754718886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308886208"/>
        <c:axId val="308888560"/>
      </c:barChart>
      <c:catAx>
        <c:axId val="3088862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Год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08888560"/>
        <c:crosses val="autoZero"/>
        <c:auto val="1"/>
        <c:lblAlgn val="ctr"/>
        <c:lblOffset val="100"/>
        <c:noMultiLvlLbl val="0"/>
      </c:catAx>
      <c:valAx>
        <c:axId val="308888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Вклад женщин в статьи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08886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Корреляция</a:t>
            </a:r>
            <a:r>
              <a:rPr lang="ru-RU" baseline="0"/>
              <a:t> между числом авторов и количеством цитирований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Расчёты!$E$2:$E$363</c:f>
              <c:numCache>
                <c:formatCode>General</c:formatCode>
                <c:ptCount val="362"/>
                <c:pt idx="0">
                  <c:v>97</c:v>
                </c:pt>
                <c:pt idx="1">
                  <c:v>74</c:v>
                </c:pt>
                <c:pt idx="2">
                  <c:v>45</c:v>
                </c:pt>
                <c:pt idx="3">
                  <c:v>37</c:v>
                </c:pt>
                <c:pt idx="4">
                  <c:v>35</c:v>
                </c:pt>
                <c:pt idx="5">
                  <c:v>33</c:v>
                </c:pt>
                <c:pt idx="6">
                  <c:v>28</c:v>
                </c:pt>
                <c:pt idx="7">
                  <c:v>26</c:v>
                </c:pt>
                <c:pt idx="8">
                  <c:v>25</c:v>
                </c:pt>
                <c:pt idx="9">
                  <c:v>25</c:v>
                </c:pt>
                <c:pt idx="10">
                  <c:v>25</c:v>
                </c:pt>
                <c:pt idx="11">
                  <c:v>24</c:v>
                </c:pt>
                <c:pt idx="12">
                  <c:v>24</c:v>
                </c:pt>
                <c:pt idx="13">
                  <c:v>23</c:v>
                </c:pt>
                <c:pt idx="14">
                  <c:v>23</c:v>
                </c:pt>
                <c:pt idx="15">
                  <c:v>21</c:v>
                </c:pt>
                <c:pt idx="16">
                  <c:v>20</c:v>
                </c:pt>
                <c:pt idx="17">
                  <c:v>18</c:v>
                </c:pt>
                <c:pt idx="18">
                  <c:v>17</c:v>
                </c:pt>
                <c:pt idx="19">
                  <c:v>16</c:v>
                </c:pt>
                <c:pt idx="20">
                  <c:v>15</c:v>
                </c:pt>
                <c:pt idx="21">
                  <c:v>14</c:v>
                </c:pt>
                <c:pt idx="22">
                  <c:v>14</c:v>
                </c:pt>
                <c:pt idx="23">
                  <c:v>14</c:v>
                </c:pt>
                <c:pt idx="24">
                  <c:v>14</c:v>
                </c:pt>
                <c:pt idx="25">
                  <c:v>14</c:v>
                </c:pt>
                <c:pt idx="26">
                  <c:v>13</c:v>
                </c:pt>
                <c:pt idx="27">
                  <c:v>13</c:v>
                </c:pt>
                <c:pt idx="28">
                  <c:v>13</c:v>
                </c:pt>
                <c:pt idx="29">
                  <c:v>13</c:v>
                </c:pt>
                <c:pt idx="30">
                  <c:v>11</c:v>
                </c:pt>
                <c:pt idx="31">
                  <c:v>11</c:v>
                </c:pt>
                <c:pt idx="32">
                  <c:v>11</c:v>
                </c:pt>
                <c:pt idx="33">
                  <c:v>10</c:v>
                </c:pt>
                <c:pt idx="34">
                  <c:v>10</c:v>
                </c:pt>
                <c:pt idx="35">
                  <c:v>10</c:v>
                </c:pt>
                <c:pt idx="36">
                  <c:v>9</c:v>
                </c:pt>
                <c:pt idx="37">
                  <c:v>9</c:v>
                </c:pt>
                <c:pt idx="38">
                  <c:v>9</c:v>
                </c:pt>
                <c:pt idx="39">
                  <c:v>9</c:v>
                </c:pt>
                <c:pt idx="40">
                  <c:v>9</c:v>
                </c:pt>
                <c:pt idx="41">
                  <c:v>9</c:v>
                </c:pt>
                <c:pt idx="42">
                  <c:v>8</c:v>
                </c:pt>
                <c:pt idx="43">
                  <c:v>8</c:v>
                </c:pt>
                <c:pt idx="44">
                  <c:v>8</c:v>
                </c:pt>
                <c:pt idx="45">
                  <c:v>8</c:v>
                </c:pt>
                <c:pt idx="46">
                  <c:v>7</c:v>
                </c:pt>
                <c:pt idx="47">
                  <c:v>7</c:v>
                </c:pt>
                <c:pt idx="48">
                  <c:v>7</c:v>
                </c:pt>
                <c:pt idx="49">
                  <c:v>7</c:v>
                </c:pt>
                <c:pt idx="50">
                  <c:v>7</c:v>
                </c:pt>
                <c:pt idx="51">
                  <c:v>7</c:v>
                </c:pt>
                <c:pt idx="52">
                  <c:v>7</c:v>
                </c:pt>
                <c:pt idx="53">
                  <c:v>7</c:v>
                </c:pt>
                <c:pt idx="54">
                  <c:v>7</c:v>
                </c:pt>
                <c:pt idx="55">
                  <c:v>7</c:v>
                </c:pt>
                <c:pt idx="56">
                  <c:v>7</c:v>
                </c:pt>
                <c:pt idx="57">
                  <c:v>6</c:v>
                </c:pt>
                <c:pt idx="58">
                  <c:v>6</c:v>
                </c:pt>
                <c:pt idx="59">
                  <c:v>6</c:v>
                </c:pt>
                <c:pt idx="60">
                  <c:v>6</c:v>
                </c:pt>
                <c:pt idx="61">
                  <c:v>6</c:v>
                </c:pt>
                <c:pt idx="62">
                  <c:v>6</c:v>
                </c:pt>
                <c:pt idx="63">
                  <c:v>6</c:v>
                </c:pt>
                <c:pt idx="64">
                  <c:v>6</c:v>
                </c:pt>
                <c:pt idx="65">
                  <c:v>6</c:v>
                </c:pt>
                <c:pt idx="66">
                  <c:v>6</c:v>
                </c:pt>
                <c:pt idx="67">
                  <c:v>5</c:v>
                </c:pt>
                <c:pt idx="68">
                  <c:v>5</c:v>
                </c:pt>
                <c:pt idx="69">
                  <c:v>5</c:v>
                </c:pt>
                <c:pt idx="70">
                  <c:v>5</c:v>
                </c:pt>
                <c:pt idx="71">
                  <c:v>5</c:v>
                </c:pt>
                <c:pt idx="72">
                  <c:v>5</c:v>
                </c:pt>
                <c:pt idx="73">
                  <c:v>5</c:v>
                </c:pt>
                <c:pt idx="74">
                  <c:v>5</c:v>
                </c:pt>
                <c:pt idx="75">
                  <c:v>5</c:v>
                </c:pt>
                <c:pt idx="76">
                  <c:v>5</c:v>
                </c:pt>
                <c:pt idx="77">
                  <c:v>5</c:v>
                </c:pt>
                <c:pt idx="78">
                  <c:v>5</c:v>
                </c:pt>
                <c:pt idx="79">
                  <c:v>5</c:v>
                </c:pt>
                <c:pt idx="80">
                  <c:v>4</c:v>
                </c:pt>
                <c:pt idx="81">
                  <c:v>4</c:v>
                </c:pt>
                <c:pt idx="82">
                  <c:v>4</c:v>
                </c:pt>
                <c:pt idx="83">
                  <c:v>4</c:v>
                </c:pt>
                <c:pt idx="84">
                  <c:v>4</c:v>
                </c:pt>
                <c:pt idx="85">
                  <c:v>4</c:v>
                </c:pt>
                <c:pt idx="86">
                  <c:v>4</c:v>
                </c:pt>
                <c:pt idx="87">
                  <c:v>4</c:v>
                </c:pt>
                <c:pt idx="88">
                  <c:v>4</c:v>
                </c:pt>
                <c:pt idx="89">
                  <c:v>4</c:v>
                </c:pt>
                <c:pt idx="90">
                  <c:v>4</c:v>
                </c:pt>
                <c:pt idx="91">
                  <c:v>3</c:v>
                </c:pt>
                <c:pt idx="92">
                  <c:v>3</c:v>
                </c:pt>
                <c:pt idx="93">
                  <c:v>3</c:v>
                </c:pt>
                <c:pt idx="94">
                  <c:v>3</c:v>
                </c:pt>
                <c:pt idx="95">
                  <c:v>3</c:v>
                </c:pt>
                <c:pt idx="96">
                  <c:v>3</c:v>
                </c:pt>
                <c:pt idx="97">
                  <c:v>3</c:v>
                </c:pt>
                <c:pt idx="98">
                  <c:v>3</c:v>
                </c:pt>
                <c:pt idx="99">
                  <c:v>3</c:v>
                </c:pt>
                <c:pt idx="100">
                  <c:v>3</c:v>
                </c:pt>
                <c:pt idx="101">
                  <c:v>3</c:v>
                </c:pt>
                <c:pt idx="102">
                  <c:v>3</c:v>
                </c:pt>
                <c:pt idx="103">
                  <c:v>3</c:v>
                </c:pt>
                <c:pt idx="104">
                  <c:v>3</c:v>
                </c:pt>
                <c:pt idx="105">
                  <c:v>3</c:v>
                </c:pt>
                <c:pt idx="106">
                  <c:v>3</c:v>
                </c:pt>
                <c:pt idx="107">
                  <c:v>3</c:v>
                </c:pt>
                <c:pt idx="108">
                  <c:v>3</c:v>
                </c:pt>
                <c:pt idx="109">
                  <c:v>3</c:v>
                </c:pt>
                <c:pt idx="110">
                  <c:v>3</c:v>
                </c:pt>
                <c:pt idx="111">
                  <c:v>3</c:v>
                </c:pt>
                <c:pt idx="112">
                  <c:v>3</c:v>
                </c:pt>
                <c:pt idx="113">
                  <c:v>3</c:v>
                </c:pt>
                <c:pt idx="114">
                  <c:v>3</c:v>
                </c:pt>
                <c:pt idx="115">
                  <c:v>3</c:v>
                </c:pt>
                <c:pt idx="116">
                  <c:v>3</c:v>
                </c:pt>
                <c:pt idx="117">
                  <c:v>3</c:v>
                </c:pt>
                <c:pt idx="118">
                  <c:v>3</c:v>
                </c:pt>
                <c:pt idx="119">
                  <c:v>3</c:v>
                </c:pt>
                <c:pt idx="120">
                  <c:v>2</c:v>
                </c:pt>
                <c:pt idx="121">
                  <c:v>2</c:v>
                </c:pt>
                <c:pt idx="122">
                  <c:v>2</c:v>
                </c:pt>
                <c:pt idx="123">
                  <c:v>2</c:v>
                </c:pt>
                <c:pt idx="124">
                  <c:v>2</c:v>
                </c:pt>
                <c:pt idx="125">
                  <c:v>2</c:v>
                </c:pt>
                <c:pt idx="126">
                  <c:v>2</c:v>
                </c:pt>
                <c:pt idx="127">
                  <c:v>2</c:v>
                </c:pt>
                <c:pt idx="128">
                  <c:v>2</c:v>
                </c:pt>
                <c:pt idx="129">
                  <c:v>2</c:v>
                </c:pt>
                <c:pt idx="130">
                  <c:v>2</c:v>
                </c:pt>
                <c:pt idx="131">
                  <c:v>2</c:v>
                </c:pt>
                <c:pt idx="132">
                  <c:v>2</c:v>
                </c:pt>
                <c:pt idx="133">
                  <c:v>2</c:v>
                </c:pt>
                <c:pt idx="134">
                  <c:v>2</c:v>
                </c:pt>
                <c:pt idx="135">
                  <c:v>2</c:v>
                </c:pt>
                <c:pt idx="136">
                  <c:v>2</c:v>
                </c:pt>
                <c:pt idx="137">
                  <c:v>2</c:v>
                </c:pt>
                <c:pt idx="138">
                  <c:v>2</c:v>
                </c:pt>
                <c:pt idx="139">
                  <c:v>2</c:v>
                </c:pt>
                <c:pt idx="140">
                  <c:v>2</c:v>
                </c:pt>
                <c:pt idx="141">
                  <c:v>2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</c:numCache>
            </c:numRef>
          </c:xVal>
          <c:yVal>
            <c:numRef>
              <c:f>Расчёты!$F$2:$F$363</c:f>
              <c:numCache>
                <c:formatCode>General</c:formatCode>
                <c:ptCount val="362"/>
                <c:pt idx="0">
                  <c:v>2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1</c:v>
                </c:pt>
                <c:pt idx="7">
                  <c:v>3</c:v>
                </c:pt>
                <c:pt idx="8">
                  <c:v>3</c:v>
                </c:pt>
                <c:pt idx="9">
                  <c:v>1</c:v>
                </c:pt>
                <c:pt idx="10">
                  <c:v>4</c:v>
                </c:pt>
                <c:pt idx="11">
                  <c:v>3</c:v>
                </c:pt>
                <c:pt idx="12">
                  <c:v>4</c:v>
                </c:pt>
                <c:pt idx="13">
                  <c:v>9</c:v>
                </c:pt>
                <c:pt idx="14">
                  <c:v>1</c:v>
                </c:pt>
                <c:pt idx="15">
                  <c:v>1</c:v>
                </c:pt>
                <c:pt idx="16">
                  <c:v>4</c:v>
                </c:pt>
                <c:pt idx="17">
                  <c:v>3</c:v>
                </c:pt>
                <c:pt idx="18">
                  <c:v>4</c:v>
                </c:pt>
                <c:pt idx="19">
                  <c:v>2</c:v>
                </c:pt>
                <c:pt idx="20">
                  <c:v>2</c:v>
                </c:pt>
                <c:pt idx="21">
                  <c:v>3</c:v>
                </c:pt>
                <c:pt idx="22">
                  <c:v>3</c:v>
                </c:pt>
                <c:pt idx="23">
                  <c:v>1</c:v>
                </c:pt>
                <c:pt idx="24">
                  <c:v>1</c:v>
                </c:pt>
                <c:pt idx="25">
                  <c:v>2</c:v>
                </c:pt>
                <c:pt idx="26">
                  <c:v>4</c:v>
                </c:pt>
                <c:pt idx="27">
                  <c:v>5</c:v>
                </c:pt>
                <c:pt idx="28">
                  <c:v>3</c:v>
                </c:pt>
                <c:pt idx="29">
                  <c:v>2</c:v>
                </c:pt>
                <c:pt idx="30">
                  <c:v>1</c:v>
                </c:pt>
                <c:pt idx="31">
                  <c:v>2</c:v>
                </c:pt>
                <c:pt idx="32">
                  <c:v>2</c:v>
                </c:pt>
                <c:pt idx="33">
                  <c:v>2</c:v>
                </c:pt>
                <c:pt idx="34">
                  <c:v>1</c:v>
                </c:pt>
                <c:pt idx="35">
                  <c:v>3</c:v>
                </c:pt>
                <c:pt idx="36">
                  <c:v>4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4</c:v>
                </c:pt>
                <c:pt idx="41">
                  <c:v>1</c:v>
                </c:pt>
                <c:pt idx="42">
                  <c:v>2</c:v>
                </c:pt>
                <c:pt idx="43">
                  <c:v>2</c:v>
                </c:pt>
                <c:pt idx="44">
                  <c:v>2</c:v>
                </c:pt>
                <c:pt idx="45">
                  <c:v>1</c:v>
                </c:pt>
                <c:pt idx="46">
                  <c:v>2</c:v>
                </c:pt>
                <c:pt idx="47">
                  <c:v>3</c:v>
                </c:pt>
                <c:pt idx="48">
                  <c:v>1</c:v>
                </c:pt>
                <c:pt idx="49">
                  <c:v>6</c:v>
                </c:pt>
                <c:pt idx="50">
                  <c:v>3</c:v>
                </c:pt>
                <c:pt idx="51">
                  <c:v>3</c:v>
                </c:pt>
                <c:pt idx="52">
                  <c:v>1</c:v>
                </c:pt>
                <c:pt idx="53">
                  <c:v>7</c:v>
                </c:pt>
                <c:pt idx="54">
                  <c:v>1</c:v>
                </c:pt>
                <c:pt idx="55">
                  <c:v>1</c:v>
                </c:pt>
                <c:pt idx="56">
                  <c:v>3</c:v>
                </c:pt>
                <c:pt idx="57">
                  <c:v>2</c:v>
                </c:pt>
                <c:pt idx="58">
                  <c:v>5</c:v>
                </c:pt>
                <c:pt idx="59">
                  <c:v>4</c:v>
                </c:pt>
                <c:pt idx="60">
                  <c:v>2</c:v>
                </c:pt>
                <c:pt idx="61">
                  <c:v>1</c:v>
                </c:pt>
                <c:pt idx="62">
                  <c:v>2</c:v>
                </c:pt>
                <c:pt idx="63">
                  <c:v>3</c:v>
                </c:pt>
                <c:pt idx="64">
                  <c:v>3</c:v>
                </c:pt>
                <c:pt idx="65">
                  <c:v>2</c:v>
                </c:pt>
                <c:pt idx="66">
                  <c:v>1</c:v>
                </c:pt>
                <c:pt idx="67">
                  <c:v>2</c:v>
                </c:pt>
                <c:pt idx="68">
                  <c:v>1</c:v>
                </c:pt>
                <c:pt idx="69">
                  <c:v>1</c:v>
                </c:pt>
                <c:pt idx="70">
                  <c:v>2</c:v>
                </c:pt>
                <c:pt idx="71">
                  <c:v>1</c:v>
                </c:pt>
                <c:pt idx="72">
                  <c:v>3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3</c:v>
                </c:pt>
                <c:pt idx="78">
                  <c:v>4</c:v>
                </c:pt>
                <c:pt idx="79">
                  <c:v>6</c:v>
                </c:pt>
                <c:pt idx="80">
                  <c:v>2</c:v>
                </c:pt>
                <c:pt idx="81">
                  <c:v>4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2</c:v>
                </c:pt>
                <c:pt idx="86">
                  <c:v>2</c:v>
                </c:pt>
                <c:pt idx="87">
                  <c:v>3</c:v>
                </c:pt>
                <c:pt idx="88">
                  <c:v>1</c:v>
                </c:pt>
                <c:pt idx="89">
                  <c:v>2</c:v>
                </c:pt>
                <c:pt idx="90">
                  <c:v>7</c:v>
                </c:pt>
                <c:pt idx="91">
                  <c:v>4</c:v>
                </c:pt>
                <c:pt idx="92">
                  <c:v>1</c:v>
                </c:pt>
                <c:pt idx="93">
                  <c:v>3</c:v>
                </c:pt>
                <c:pt idx="94">
                  <c:v>5</c:v>
                </c:pt>
                <c:pt idx="95">
                  <c:v>6</c:v>
                </c:pt>
                <c:pt idx="96">
                  <c:v>4</c:v>
                </c:pt>
                <c:pt idx="97">
                  <c:v>2</c:v>
                </c:pt>
                <c:pt idx="98">
                  <c:v>1</c:v>
                </c:pt>
                <c:pt idx="99">
                  <c:v>2</c:v>
                </c:pt>
                <c:pt idx="100">
                  <c:v>3</c:v>
                </c:pt>
                <c:pt idx="101">
                  <c:v>2</c:v>
                </c:pt>
                <c:pt idx="102">
                  <c:v>1</c:v>
                </c:pt>
                <c:pt idx="103">
                  <c:v>2</c:v>
                </c:pt>
                <c:pt idx="104">
                  <c:v>3</c:v>
                </c:pt>
                <c:pt idx="105">
                  <c:v>1</c:v>
                </c:pt>
                <c:pt idx="106">
                  <c:v>3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4</c:v>
                </c:pt>
                <c:pt idx="111">
                  <c:v>2</c:v>
                </c:pt>
                <c:pt idx="112">
                  <c:v>9</c:v>
                </c:pt>
                <c:pt idx="113">
                  <c:v>4</c:v>
                </c:pt>
                <c:pt idx="114">
                  <c:v>4</c:v>
                </c:pt>
                <c:pt idx="115">
                  <c:v>3</c:v>
                </c:pt>
                <c:pt idx="116">
                  <c:v>2</c:v>
                </c:pt>
                <c:pt idx="117">
                  <c:v>6</c:v>
                </c:pt>
                <c:pt idx="118">
                  <c:v>3</c:v>
                </c:pt>
                <c:pt idx="119">
                  <c:v>3</c:v>
                </c:pt>
                <c:pt idx="120">
                  <c:v>2</c:v>
                </c:pt>
                <c:pt idx="121">
                  <c:v>1</c:v>
                </c:pt>
                <c:pt idx="122">
                  <c:v>3</c:v>
                </c:pt>
                <c:pt idx="123">
                  <c:v>2</c:v>
                </c:pt>
                <c:pt idx="124">
                  <c:v>1</c:v>
                </c:pt>
                <c:pt idx="125">
                  <c:v>1</c:v>
                </c:pt>
                <c:pt idx="126">
                  <c:v>3</c:v>
                </c:pt>
                <c:pt idx="127">
                  <c:v>3</c:v>
                </c:pt>
                <c:pt idx="128">
                  <c:v>2</c:v>
                </c:pt>
                <c:pt idx="129">
                  <c:v>3</c:v>
                </c:pt>
                <c:pt idx="130">
                  <c:v>3</c:v>
                </c:pt>
                <c:pt idx="131">
                  <c:v>2</c:v>
                </c:pt>
                <c:pt idx="132">
                  <c:v>1</c:v>
                </c:pt>
                <c:pt idx="133">
                  <c:v>4</c:v>
                </c:pt>
                <c:pt idx="134">
                  <c:v>2</c:v>
                </c:pt>
                <c:pt idx="135">
                  <c:v>2</c:v>
                </c:pt>
                <c:pt idx="136">
                  <c:v>3</c:v>
                </c:pt>
                <c:pt idx="137">
                  <c:v>6</c:v>
                </c:pt>
                <c:pt idx="138">
                  <c:v>4</c:v>
                </c:pt>
                <c:pt idx="139">
                  <c:v>2</c:v>
                </c:pt>
                <c:pt idx="140">
                  <c:v>4</c:v>
                </c:pt>
                <c:pt idx="141">
                  <c:v>4</c:v>
                </c:pt>
                <c:pt idx="142">
                  <c:v>2</c:v>
                </c:pt>
                <c:pt idx="143">
                  <c:v>3</c:v>
                </c:pt>
                <c:pt idx="144">
                  <c:v>2</c:v>
                </c:pt>
                <c:pt idx="145">
                  <c:v>2</c:v>
                </c:pt>
                <c:pt idx="146">
                  <c:v>2</c:v>
                </c:pt>
                <c:pt idx="147">
                  <c:v>3</c:v>
                </c:pt>
                <c:pt idx="148">
                  <c:v>1</c:v>
                </c:pt>
                <c:pt idx="149">
                  <c:v>3</c:v>
                </c:pt>
                <c:pt idx="150">
                  <c:v>1</c:v>
                </c:pt>
                <c:pt idx="151">
                  <c:v>1</c:v>
                </c:pt>
                <c:pt idx="152">
                  <c:v>3</c:v>
                </c:pt>
                <c:pt idx="153">
                  <c:v>3</c:v>
                </c:pt>
                <c:pt idx="154">
                  <c:v>5</c:v>
                </c:pt>
                <c:pt idx="155">
                  <c:v>3</c:v>
                </c:pt>
                <c:pt idx="156">
                  <c:v>3</c:v>
                </c:pt>
                <c:pt idx="157">
                  <c:v>4</c:v>
                </c:pt>
                <c:pt idx="158">
                  <c:v>3</c:v>
                </c:pt>
                <c:pt idx="159">
                  <c:v>2</c:v>
                </c:pt>
                <c:pt idx="160">
                  <c:v>5</c:v>
                </c:pt>
                <c:pt idx="161">
                  <c:v>4</c:v>
                </c:pt>
                <c:pt idx="162">
                  <c:v>1</c:v>
                </c:pt>
                <c:pt idx="163">
                  <c:v>3</c:v>
                </c:pt>
                <c:pt idx="164">
                  <c:v>3</c:v>
                </c:pt>
                <c:pt idx="165">
                  <c:v>1</c:v>
                </c:pt>
                <c:pt idx="166">
                  <c:v>2</c:v>
                </c:pt>
                <c:pt idx="167">
                  <c:v>3</c:v>
                </c:pt>
                <c:pt idx="168">
                  <c:v>2</c:v>
                </c:pt>
                <c:pt idx="169">
                  <c:v>2</c:v>
                </c:pt>
                <c:pt idx="170">
                  <c:v>3</c:v>
                </c:pt>
                <c:pt idx="171">
                  <c:v>4</c:v>
                </c:pt>
                <c:pt idx="172">
                  <c:v>2</c:v>
                </c:pt>
                <c:pt idx="173">
                  <c:v>2</c:v>
                </c:pt>
                <c:pt idx="174">
                  <c:v>2</c:v>
                </c:pt>
                <c:pt idx="175">
                  <c:v>4</c:v>
                </c:pt>
                <c:pt idx="176">
                  <c:v>3</c:v>
                </c:pt>
                <c:pt idx="177">
                  <c:v>4</c:v>
                </c:pt>
                <c:pt idx="178">
                  <c:v>4</c:v>
                </c:pt>
                <c:pt idx="179">
                  <c:v>3</c:v>
                </c:pt>
                <c:pt idx="180">
                  <c:v>2</c:v>
                </c:pt>
                <c:pt idx="181">
                  <c:v>2</c:v>
                </c:pt>
                <c:pt idx="182">
                  <c:v>4</c:v>
                </c:pt>
                <c:pt idx="183">
                  <c:v>4</c:v>
                </c:pt>
                <c:pt idx="184">
                  <c:v>3</c:v>
                </c:pt>
                <c:pt idx="185">
                  <c:v>4</c:v>
                </c:pt>
                <c:pt idx="186">
                  <c:v>2</c:v>
                </c:pt>
                <c:pt idx="187">
                  <c:v>1</c:v>
                </c:pt>
                <c:pt idx="188">
                  <c:v>3</c:v>
                </c:pt>
                <c:pt idx="189">
                  <c:v>3</c:v>
                </c:pt>
                <c:pt idx="190">
                  <c:v>4</c:v>
                </c:pt>
                <c:pt idx="191">
                  <c:v>5</c:v>
                </c:pt>
                <c:pt idx="192">
                  <c:v>4</c:v>
                </c:pt>
                <c:pt idx="193">
                  <c:v>1</c:v>
                </c:pt>
                <c:pt idx="194">
                  <c:v>3</c:v>
                </c:pt>
                <c:pt idx="195">
                  <c:v>2</c:v>
                </c:pt>
                <c:pt idx="196">
                  <c:v>2</c:v>
                </c:pt>
                <c:pt idx="197">
                  <c:v>7</c:v>
                </c:pt>
                <c:pt idx="198">
                  <c:v>7</c:v>
                </c:pt>
                <c:pt idx="199">
                  <c:v>1</c:v>
                </c:pt>
                <c:pt idx="200">
                  <c:v>1</c:v>
                </c:pt>
                <c:pt idx="201">
                  <c:v>2</c:v>
                </c:pt>
                <c:pt idx="202">
                  <c:v>2</c:v>
                </c:pt>
                <c:pt idx="203">
                  <c:v>2</c:v>
                </c:pt>
                <c:pt idx="204">
                  <c:v>3</c:v>
                </c:pt>
                <c:pt idx="205">
                  <c:v>4</c:v>
                </c:pt>
                <c:pt idx="206">
                  <c:v>3</c:v>
                </c:pt>
                <c:pt idx="207">
                  <c:v>1</c:v>
                </c:pt>
                <c:pt idx="208">
                  <c:v>1</c:v>
                </c:pt>
                <c:pt idx="209">
                  <c:v>4</c:v>
                </c:pt>
                <c:pt idx="210">
                  <c:v>3</c:v>
                </c:pt>
                <c:pt idx="211">
                  <c:v>2</c:v>
                </c:pt>
                <c:pt idx="212">
                  <c:v>5</c:v>
                </c:pt>
                <c:pt idx="213">
                  <c:v>2</c:v>
                </c:pt>
                <c:pt idx="214">
                  <c:v>2</c:v>
                </c:pt>
                <c:pt idx="215">
                  <c:v>3</c:v>
                </c:pt>
                <c:pt idx="216">
                  <c:v>1</c:v>
                </c:pt>
                <c:pt idx="217">
                  <c:v>3</c:v>
                </c:pt>
                <c:pt idx="218">
                  <c:v>1</c:v>
                </c:pt>
                <c:pt idx="219">
                  <c:v>1</c:v>
                </c:pt>
                <c:pt idx="220">
                  <c:v>2</c:v>
                </c:pt>
                <c:pt idx="221">
                  <c:v>3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2</c:v>
                </c:pt>
                <c:pt idx="226">
                  <c:v>3</c:v>
                </c:pt>
                <c:pt idx="227">
                  <c:v>5</c:v>
                </c:pt>
                <c:pt idx="228">
                  <c:v>3</c:v>
                </c:pt>
                <c:pt idx="229">
                  <c:v>1</c:v>
                </c:pt>
                <c:pt idx="230">
                  <c:v>3</c:v>
                </c:pt>
                <c:pt idx="231">
                  <c:v>1</c:v>
                </c:pt>
                <c:pt idx="232">
                  <c:v>1</c:v>
                </c:pt>
                <c:pt idx="233">
                  <c:v>2</c:v>
                </c:pt>
                <c:pt idx="234">
                  <c:v>4</c:v>
                </c:pt>
                <c:pt idx="235">
                  <c:v>2</c:v>
                </c:pt>
                <c:pt idx="236">
                  <c:v>2</c:v>
                </c:pt>
                <c:pt idx="237">
                  <c:v>4</c:v>
                </c:pt>
                <c:pt idx="238">
                  <c:v>2</c:v>
                </c:pt>
                <c:pt idx="239">
                  <c:v>2</c:v>
                </c:pt>
                <c:pt idx="240">
                  <c:v>3</c:v>
                </c:pt>
                <c:pt idx="241">
                  <c:v>3</c:v>
                </c:pt>
                <c:pt idx="242">
                  <c:v>1</c:v>
                </c:pt>
                <c:pt idx="243">
                  <c:v>1</c:v>
                </c:pt>
                <c:pt idx="244">
                  <c:v>1</c:v>
                </c:pt>
                <c:pt idx="245">
                  <c:v>3</c:v>
                </c:pt>
                <c:pt idx="246">
                  <c:v>3</c:v>
                </c:pt>
                <c:pt idx="247">
                  <c:v>1</c:v>
                </c:pt>
                <c:pt idx="248">
                  <c:v>2</c:v>
                </c:pt>
                <c:pt idx="249">
                  <c:v>5</c:v>
                </c:pt>
                <c:pt idx="250">
                  <c:v>4</c:v>
                </c:pt>
                <c:pt idx="251">
                  <c:v>1</c:v>
                </c:pt>
                <c:pt idx="252">
                  <c:v>1</c:v>
                </c:pt>
                <c:pt idx="253">
                  <c:v>1</c:v>
                </c:pt>
                <c:pt idx="254">
                  <c:v>2</c:v>
                </c:pt>
                <c:pt idx="255">
                  <c:v>1</c:v>
                </c:pt>
                <c:pt idx="256">
                  <c:v>1</c:v>
                </c:pt>
                <c:pt idx="257">
                  <c:v>1</c:v>
                </c:pt>
                <c:pt idx="258">
                  <c:v>3</c:v>
                </c:pt>
                <c:pt idx="259">
                  <c:v>2</c:v>
                </c:pt>
                <c:pt idx="260">
                  <c:v>6</c:v>
                </c:pt>
                <c:pt idx="261">
                  <c:v>1</c:v>
                </c:pt>
                <c:pt idx="262">
                  <c:v>9</c:v>
                </c:pt>
                <c:pt idx="263">
                  <c:v>1</c:v>
                </c:pt>
                <c:pt idx="264">
                  <c:v>4</c:v>
                </c:pt>
                <c:pt idx="265">
                  <c:v>3</c:v>
                </c:pt>
                <c:pt idx="266">
                  <c:v>2</c:v>
                </c:pt>
                <c:pt idx="267">
                  <c:v>1</c:v>
                </c:pt>
                <c:pt idx="268">
                  <c:v>2</c:v>
                </c:pt>
                <c:pt idx="269">
                  <c:v>1</c:v>
                </c:pt>
                <c:pt idx="270">
                  <c:v>3</c:v>
                </c:pt>
                <c:pt idx="271">
                  <c:v>2</c:v>
                </c:pt>
                <c:pt idx="272">
                  <c:v>6</c:v>
                </c:pt>
                <c:pt idx="273">
                  <c:v>1</c:v>
                </c:pt>
                <c:pt idx="274">
                  <c:v>1</c:v>
                </c:pt>
                <c:pt idx="275">
                  <c:v>2</c:v>
                </c:pt>
                <c:pt idx="276">
                  <c:v>1</c:v>
                </c:pt>
                <c:pt idx="277">
                  <c:v>2</c:v>
                </c:pt>
                <c:pt idx="278">
                  <c:v>2</c:v>
                </c:pt>
                <c:pt idx="279">
                  <c:v>3</c:v>
                </c:pt>
                <c:pt idx="280">
                  <c:v>1</c:v>
                </c:pt>
                <c:pt idx="281">
                  <c:v>2</c:v>
                </c:pt>
                <c:pt idx="282">
                  <c:v>3</c:v>
                </c:pt>
                <c:pt idx="283">
                  <c:v>3</c:v>
                </c:pt>
                <c:pt idx="284">
                  <c:v>3</c:v>
                </c:pt>
                <c:pt idx="285">
                  <c:v>2</c:v>
                </c:pt>
                <c:pt idx="286">
                  <c:v>3</c:v>
                </c:pt>
                <c:pt idx="287">
                  <c:v>2</c:v>
                </c:pt>
                <c:pt idx="288">
                  <c:v>2</c:v>
                </c:pt>
                <c:pt idx="289">
                  <c:v>3</c:v>
                </c:pt>
                <c:pt idx="290">
                  <c:v>4</c:v>
                </c:pt>
                <c:pt idx="291">
                  <c:v>1</c:v>
                </c:pt>
                <c:pt idx="292">
                  <c:v>1</c:v>
                </c:pt>
                <c:pt idx="293">
                  <c:v>1</c:v>
                </c:pt>
                <c:pt idx="294">
                  <c:v>1</c:v>
                </c:pt>
                <c:pt idx="295">
                  <c:v>2</c:v>
                </c:pt>
                <c:pt idx="296">
                  <c:v>1</c:v>
                </c:pt>
                <c:pt idx="297">
                  <c:v>7</c:v>
                </c:pt>
                <c:pt idx="298">
                  <c:v>3</c:v>
                </c:pt>
                <c:pt idx="299">
                  <c:v>4</c:v>
                </c:pt>
                <c:pt idx="300">
                  <c:v>3</c:v>
                </c:pt>
                <c:pt idx="301">
                  <c:v>3</c:v>
                </c:pt>
                <c:pt idx="302">
                  <c:v>3</c:v>
                </c:pt>
                <c:pt idx="303">
                  <c:v>1</c:v>
                </c:pt>
                <c:pt idx="304">
                  <c:v>4</c:v>
                </c:pt>
                <c:pt idx="305">
                  <c:v>4</c:v>
                </c:pt>
                <c:pt idx="306">
                  <c:v>1</c:v>
                </c:pt>
                <c:pt idx="307">
                  <c:v>3</c:v>
                </c:pt>
                <c:pt idx="308">
                  <c:v>1</c:v>
                </c:pt>
                <c:pt idx="309">
                  <c:v>1</c:v>
                </c:pt>
                <c:pt idx="310">
                  <c:v>3</c:v>
                </c:pt>
                <c:pt idx="311">
                  <c:v>4</c:v>
                </c:pt>
                <c:pt idx="312">
                  <c:v>1</c:v>
                </c:pt>
                <c:pt idx="313">
                  <c:v>4</c:v>
                </c:pt>
                <c:pt idx="314">
                  <c:v>2</c:v>
                </c:pt>
                <c:pt idx="315">
                  <c:v>1</c:v>
                </c:pt>
                <c:pt idx="316">
                  <c:v>1</c:v>
                </c:pt>
                <c:pt idx="317">
                  <c:v>1</c:v>
                </c:pt>
                <c:pt idx="318">
                  <c:v>2</c:v>
                </c:pt>
                <c:pt idx="319">
                  <c:v>2</c:v>
                </c:pt>
                <c:pt idx="320">
                  <c:v>1</c:v>
                </c:pt>
                <c:pt idx="321">
                  <c:v>1</c:v>
                </c:pt>
                <c:pt idx="322">
                  <c:v>3</c:v>
                </c:pt>
                <c:pt idx="323">
                  <c:v>1</c:v>
                </c:pt>
                <c:pt idx="324">
                  <c:v>9</c:v>
                </c:pt>
                <c:pt idx="325">
                  <c:v>2</c:v>
                </c:pt>
                <c:pt idx="326">
                  <c:v>1</c:v>
                </c:pt>
                <c:pt idx="327">
                  <c:v>7</c:v>
                </c:pt>
                <c:pt idx="328">
                  <c:v>2</c:v>
                </c:pt>
                <c:pt idx="329">
                  <c:v>2</c:v>
                </c:pt>
                <c:pt idx="330">
                  <c:v>4</c:v>
                </c:pt>
                <c:pt idx="331">
                  <c:v>2</c:v>
                </c:pt>
                <c:pt idx="332">
                  <c:v>2</c:v>
                </c:pt>
                <c:pt idx="333">
                  <c:v>4</c:v>
                </c:pt>
                <c:pt idx="334">
                  <c:v>2</c:v>
                </c:pt>
                <c:pt idx="335">
                  <c:v>5</c:v>
                </c:pt>
                <c:pt idx="336">
                  <c:v>6</c:v>
                </c:pt>
                <c:pt idx="337">
                  <c:v>3</c:v>
                </c:pt>
                <c:pt idx="338">
                  <c:v>1</c:v>
                </c:pt>
                <c:pt idx="339">
                  <c:v>6</c:v>
                </c:pt>
                <c:pt idx="340">
                  <c:v>3</c:v>
                </c:pt>
                <c:pt idx="341">
                  <c:v>4</c:v>
                </c:pt>
                <c:pt idx="342">
                  <c:v>1</c:v>
                </c:pt>
                <c:pt idx="343">
                  <c:v>3</c:v>
                </c:pt>
                <c:pt idx="344">
                  <c:v>3</c:v>
                </c:pt>
                <c:pt idx="345">
                  <c:v>4</c:v>
                </c:pt>
                <c:pt idx="346">
                  <c:v>3</c:v>
                </c:pt>
                <c:pt idx="347">
                  <c:v>3</c:v>
                </c:pt>
                <c:pt idx="348">
                  <c:v>4</c:v>
                </c:pt>
                <c:pt idx="349">
                  <c:v>1</c:v>
                </c:pt>
                <c:pt idx="350">
                  <c:v>1</c:v>
                </c:pt>
                <c:pt idx="351">
                  <c:v>4</c:v>
                </c:pt>
                <c:pt idx="352">
                  <c:v>1</c:v>
                </c:pt>
                <c:pt idx="353">
                  <c:v>2</c:v>
                </c:pt>
                <c:pt idx="354">
                  <c:v>6</c:v>
                </c:pt>
                <c:pt idx="355">
                  <c:v>2</c:v>
                </c:pt>
                <c:pt idx="356">
                  <c:v>2</c:v>
                </c:pt>
                <c:pt idx="357">
                  <c:v>2</c:v>
                </c:pt>
                <c:pt idx="358">
                  <c:v>1</c:v>
                </c:pt>
                <c:pt idx="359">
                  <c:v>7</c:v>
                </c:pt>
                <c:pt idx="360">
                  <c:v>4</c:v>
                </c:pt>
                <c:pt idx="361">
                  <c:v>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8888952"/>
        <c:axId val="308883464"/>
      </c:scatterChart>
      <c:valAx>
        <c:axId val="3088889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Количество</a:t>
                </a:r>
                <a:r>
                  <a:rPr lang="ru-RU" baseline="0"/>
                  <a:t> цитирований</a:t>
                </a:r>
                <a:endParaRPr lang="ru-RU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08883464"/>
        <c:crosses val="autoZero"/>
        <c:crossBetween val="midCat"/>
      </c:valAx>
      <c:valAx>
        <c:axId val="30888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Количество авторов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08888952"/>
        <c:crosses val="autoZero"/>
        <c:crossBetween val="midCat"/>
      </c:valAx>
      <c:spPr>
        <a:noFill/>
        <a:ln w="25400"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Корреляция</a:t>
            </a:r>
            <a:r>
              <a:rPr lang="ru-RU" baseline="0"/>
              <a:t> между числом авторов-женщин и количеством цитирований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Расчёты!$E$2:$E$363</c:f>
              <c:numCache>
                <c:formatCode>General</c:formatCode>
                <c:ptCount val="362"/>
                <c:pt idx="0">
                  <c:v>97</c:v>
                </c:pt>
                <c:pt idx="1">
                  <c:v>74</c:v>
                </c:pt>
                <c:pt idx="2">
                  <c:v>45</c:v>
                </c:pt>
                <c:pt idx="3">
                  <c:v>37</c:v>
                </c:pt>
                <c:pt idx="4">
                  <c:v>35</c:v>
                </c:pt>
                <c:pt idx="5">
                  <c:v>33</c:v>
                </c:pt>
                <c:pt idx="6">
                  <c:v>28</c:v>
                </c:pt>
                <c:pt idx="7">
                  <c:v>26</c:v>
                </c:pt>
                <c:pt idx="8">
                  <c:v>25</c:v>
                </c:pt>
                <c:pt idx="9">
                  <c:v>25</c:v>
                </c:pt>
                <c:pt idx="10">
                  <c:v>25</c:v>
                </c:pt>
                <c:pt idx="11">
                  <c:v>24</c:v>
                </c:pt>
                <c:pt idx="12">
                  <c:v>24</c:v>
                </c:pt>
                <c:pt idx="13">
                  <c:v>23</c:v>
                </c:pt>
                <c:pt idx="14">
                  <c:v>23</c:v>
                </c:pt>
                <c:pt idx="15">
                  <c:v>21</c:v>
                </c:pt>
                <c:pt idx="16">
                  <c:v>20</c:v>
                </c:pt>
                <c:pt idx="17">
                  <c:v>18</c:v>
                </c:pt>
                <c:pt idx="18">
                  <c:v>17</c:v>
                </c:pt>
                <c:pt idx="19">
                  <c:v>16</c:v>
                </c:pt>
                <c:pt idx="20">
                  <c:v>15</c:v>
                </c:pt>
                <c:pt idx="21">
                  <c:v>14</c:v>
                </c:pt>
                <c:pt idx="22">
                  <c:v>14</c:v>
                </c:pt>
                <c:pt idx="23">
                  <c:v>14</c:v>
                </c:pt>
                <c:pt idx="24">
                  <c:v>14</c:v>
                </c:pt>
                <c:pt idx="25">
                  <c:v>14</c:v>
                </c:pt>
                <c:pt idx="26">
                  <c:v>13</c:v>
                </c:pt>
                <c:pt idx="27">
                  <c:v>13</c:v>
                </c:pt>
                <c:pt idx="28">
                  <c:v>13</c:v>
                </c:pt>
                <c:pt idx="29">
                  <c:v>13</c:v>
                </c:pt>
                <c:pt idx="30">
                  <c:v>11</c:v>
                </c:pt>
                <c:pt idx="31">
                  <c:v>11</c:v>
                </c:pt>
                <c:pt idx="32">
                  <c:v>11</c:v>
                </c:pt>
                <c:pt idx="33">
                  <c:v>10</c:v>
                </c:pt>
                <c:pt idx="34">
                  <c:v>10</c:v>
                </c:pt>
                <c:pt idx="35">
                  <c:v>10</c:v>
                </c:pt>
                <c:pt idx="36">
                  <c:v>9</c:v>
                </c:pt>
                <c:pt idx="37">
                  <c:v>9</c:v>
                </c:pt>
                <c:pt idx="38">
                  <c:v>9</c:v>
                </c:pt>
                <c:pt idx="39">
                  <c:v>9</c:v>
                </c:pt>
                <c:pt idx="40">
                  <c:v>9</c:v>
                </c:pt>
                <c:pt idx="41">
                  <c:v>9</c:v>
                </c:pt>
                <c:pt idx="42">
                  <c:v>8</c:v>
                </c:pt>
                <c:pt idx="43">
                  <c:v>8</c:v>
                </c:pt>
                <c:pt idx="44">
                  <c:v>8</c:v>
                </c:pt>
                <c:pt idx="45">
                  <c:v>8</c:v>
                </c:pt>
                <c:pt idx="46">
                  <c:v>7</c:v>
                </c:pt>
                <c:pt idx="47">
                  <c:v>7</c:v>
                </c:pt>
                <c:pt idx="48">
                  <c:v>7</c:v>
                </c:pt>
                <c:pt idx="49">
                  <c:v>7</c:v>
                </c:pt>
                <c:pt idx="50">
                  <c:v>7</c:v>
                </c:pt>
                <c:pt idx="51">
                  <c:v>7</c:v>
                </c:pt>
                <c:pt idx="52">
                  <c:v>7</c:v>
                </c:pt>
                <c:pt idx="53">
                  <c:v>7</c:v>
                </c:pt>
                <c:pt idx="54">
                  <c:v>7</c:v>
                </c:pt>
                <c:pt idx="55">
                  <c:v>7</c:v>
                </c:pt>
                <c:pt idx="56">
                  <c:v>7</c:v>
                </c:pt>
                <c:pt idx="57">
                  <c:v>6</c:v>
                </c:pt>
                <c:pt idx="58">
                  <c:v>6</c:v>
                </c:pt>
                <c:pt idx="59">
                  <c:v>6</c:v>
                </c:pt>
                <c:pt idx="60">
                  <c:v>6</c:v>
                </c:pt>
                <c:pt idx="61">
                  <c:v>6</c:v>
                </c:pt>
                <c:pt idx="62">
                  <c:v>6</c:v>
                </c:pt>
                <c:pt idx="63">
                  <c:v>6</c:v>
                </c:pt>
                <c:pt idx="64">
                  <c:v>6</c:v>
                </c:pt>
                <c:pt idx="65">
                  <c:v>6</c:v>
                </c:pt>
                <c:pt idx="66">
                  <c:v>6</c:v>
                </c:pt>
                <c:pt idx="67">
                  <c:v>5</c:v>
                </c:pt>
                <c:pt idx="68">
                  <c:v>5</c:v>
                </c:pt>
                <c:pt idx="69">
                  <c:v>5</c:v>
                </c:pt>
                <c:pt idx="70">
                  <c:v>5</c:v>
                </c:pt>
                <c:pt idx="71">
                  <c:v>5</c:v>
                </c:pt>
                <c:pt idx="72">
                  <c:v>5</c:v>
                </c:pt>
                <c:pt idx="73">
                  <c:v>5</c:v>
                </c:pt>
                <c:pt idx="74">
                  <c:v>5</c:v>
                </c:pt>
                <c:pt idx="75">
                  <c:v>5</c:v>
                </c:pt>
                <c:pt idx="76">
                  <c:v>5</c:v>
                </c:pt>
                <c:pt idx="77">
                  <c:v>5</c:v>
                </c:pt>
                <c:pt idx="78">
                  <c:v>5</c:v>
                </c:pt>
                <c:pt idx="79">
                  <c:v>5</c:v>
                </c:pt>
                <c:pt idx="80">
                  <c:v>4</c:v>
                </c:pt>
                <c:pt idx="81">
                  <c:v>4</c:v>
                </c:pt>
                <c:pt idx="82">
                  <c:v>4</c:v>
                </c:pt>
                <c:pt idx="83">
                  <c:v>4</c:v>
                </c:pt>
                <c:pt idx="84">
                  <c:v>4</c:v>
                </c:pt>
                <c:pt idx="85">
                  <c:v>4</c:v>
                </c:pt>
                <c:pt idx="86">
                  <c:v>4</c:v>
                </c:pt>
                <c:pt idx="87">
                  <c:v>4</c:v>
                </c:pt>
                <c:pt idx="88">
                  <c:v>4</c:v>
                </c:pt>
                <c:pt idx="89">
                  <c:v>4</c:v>
                </c:pt>
                <c:pt idx="90">
                  <c:v>4</c:v>
                </c:pt>
                <c:pt idx="91">
                  <c:v>3</c:v>
                </c:pt>
                <c:pt idx="92">
                  <c:v>3</c:v>
                </c:pt>
                <c:pt idx="93">
                  <c:v>3</c:v>
                </c:pt>
                <c:pt idx="94">
                  <c:v>3</c:v>
                </c:pt>
                <c:pt idx="95">
                  <c:v>3</c:v>
                </c:pt>
                <c:pt idx="96">
                  <c:v>3</c:v>
                </c:pt>
                <c:pt idx="97">
                  <c:v>3</c:v>
                </c:pt>
                <c:pt idx="98">
                  <c:v>3</c:v>
                </c:pt>
                <c:pt idx="99">
                  <c:v>3</c:v>
                </c:pt>
                <c:pt idx="100">
                  <c:v>3</c:v>
                </c:pt>
                <c:pt idx="101">
                  <c:v>3</c:v>
                </c:pt>
                <c:pt idx="102">
                  <c:v>3</c:v>
                </c:pt>
                <c:pt idx="103">
                  <c:v>3</c:v>
                </c:pt>
                <c:pt idx="104">
                  <c:v>3</c:v>
                </c:pt>
                <c:pt idx="105">
                  <c:v>3</c:v>
                </c:pt>
                <c:pt idx="106">
                  <c:v>3</c:v>
                </c:pt>
                <c:pt idx="107">
                  <c:v>3</c:v>
                </c:pt>
                <c:pt idx="108">
                  <c:v>3</c:v>
                </c:pt>
                <c:pt idx="109">
                  <c:v>3</c:v>
                </c:pt>
                <c:pt idx="110">
                  <c:v>3</c:v>
                </c:pt>
                <c:pt idx="111">
                  <c:v>3</c:v>
                </c:pt>
                <c:pt idx="112">
                  <c:v>3</c:v>
                </c:pt>
                <c:pt idx="113">
                  <c:v>3</c:v>
                </c:pt>
                <c:pt idx="114">
                  <c:v>3</c:v>
                </c:pt>
                <c:pt idx="115">
                  <c:v>3</c:v>
                </c:pt>
                <c:pt idx="116">
                  <c:v>3</c:v>
                </c:pt>
                <c:pt idx="117">
                  <c:v>3</c:v>
                </c:pt>
                <c:pt idx="118">
                  <c:v>3</c:v>
                </c:pt>
                <c:pt idx="119">
                  <c:v>3</c:v>
                </c:pt>
                <c:pt idx="120">
                  <c:v>2</c:v>
                </c:pt>
                <c:pt idx="121">
                  <c:v>2</c:v>
                </c:pt>
                <c:pt idx="122">
                  <c:v>2</c:v>
                </c:pt>
                <c:pt idx="123">
                  <c:v>2</c:v>
                </c:pt>
                <c:pt idx="124">
                  <c:v>2</c:v>
                </c:pt>
                <c:pt idx="125">
                  <c:v>2</c:v>
                </c:pt>
                <c:pt idx="126">
                  <c:v>2</c:v>
                </c:pt>
                <c:pt idx="127">
                  <c:v>2</c:v>
                </c:pt>
                <c:pt idx="128">
                  <c:v>2</c:v>
                </c:pt>
                <c:pt idx="129">
                  <c:v>2</c:v>
                </c:pt>
                <c:pt idx="130">
                  <c:v>2</c:v>
                </c:pt>
                <c:pt idx="131">
                  <c:v>2</c:v>
                </c:pt>
                <c:pt idx="132">
                  <c:v>2</c:v>
                </c:pt>
                <c:pt idx="133">
                  <c:v>2</c:v>
                </c:pt>
                <c:pt idx="134">
                  <c:v>2</c:v>
                </c:pt>
                <c:pt idx="135">
                  <c:v>2</c:v>
                </c:pt>
                <c:pt idx="136">
                  <c:v>2</c:v>
                </c:pt>
                <c:pt idx="137">
                  <c:v>2</c:v>
                </c:pt>
                <c:pt idx="138">
                  <c:v>2</c:v>
                </c:pt>
                <c:pt idx="139">
                  <c:v>2</c:v>
                </c:pt>
                <c:pt idx="140">
                  <c:v>2</c:v>
                </c:pt>
                <c:pt idx="141">
                  <c:v>2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</c:numCache>
            </c:numRef>
          </c:xVal>
          <c:yVal>
            <c:numRef>
              <c:f>Расчёты!$AK$2:$AK$363</c:f>
              <c:numCache>
                <c:formatCode>General</c:formatCode>
                <c:ptCount val="362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2</c:v>
                </c:pt>
                <c:pt idx="9">
                  <c:v>1</c:v>
                </c:pt>
                <c:pt idx="10">
                  <c:v>3</c:v>
                </c:pt>
                <c:pt idx="11">
                  <c:v>2</c:v>
                </c:pt>
                <c:pt idx="12">
                  <c:v>0</c:v>
                </c:pt>
                <c:pt idx="13">
                  <c:v>6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1</c:v>
                </c:pt>
                <c:pt idx="21">
                  <c:v>3</c:v>
                </c:pt>
                <c:pt idx="22">
                  <c:v>1</c:v>
                </c:pt>
                <c:pt idx="23">
                  <c:v>0</c:v>
                </c:pt>
                <c:pt idx="24">
                  <c:v>1</c:v>
                </c:pt>
                <c:pt idx="25">
                  <c:v>1</c:v>
                </c:pt>
                <c:pt idx="26">
                  <c:v>2</c:v>
                </c:pt>
                <c:pt idx="27">
                  <c:v>0</c:v>
                </c:pt>
                <c:pt idx="28">
                  <c:v>1</c:v>
                </c:pt>
                <c:pt idx="29">
                  <c:v>2</c:v>
                </c:pt>
                <c:pt idx="30">
                  <c:v>1</c:v>
                </c:pt>
                <c:pt idx="31">
                  <c:v>1</c:v>
                </c:pt>
                <c:pt idx="32">
                  <c:v>2</c:v>
                </c:pt>
                <c:pt idx="33">
                  <c:v>1</c:v>
                </c:pt>
                <c:pt idx="34">
                  <c:v>0</c:v>
                </c:pt>
                <c:pt idx="35">
                  <c:v>1</c:v>
                </c:pt>
                <c:pt idx="36">
                  <c:v>1</c:v>
                </c:pt>
                <c:pt idx="37">
                  <c:v>0</c:v>
                </c:pt>
                <c:pt idx="38">
                  <c:v>2</c:v>
                </c:pt>
                <c:pt idx="39">
                  <c:v>0</c:v>
                </c:pt>
                <c:pt idx="40">
                  <c:v>2</c:v>
                </c:pt>
                <c:pt idx="41">
                  <c:v>1</c:v>
                </c:pt>
                <c:pt idx="42">
                  <c:v>2</c:v>
                </c:pt>
                <c:pt idx="43">
                  <c:v>1</c:v>
                </c:pt>
                <c:pt idx="44">
                  <c:v>0</c:v>
                </c:pt>
                <c:pt idx="45">
                  <c:v>0</c:v>
                </c:pt>
                <c:pt idx="46">
                  <c:v>1</c:v>
                </c:pt>
                <c:pt idx="47">
                  <c:v>2</c:v>
                </c:pt>
                <c:pt idx="48">
                  <c:v>1</c:v>
                </c:pt>
                <c:pt idx="49">
                  <c:v>4</c:v>
                </c:pt>
                <c:pt idx="50">
                  <c:v>3</c:v>
                </c:pt>
                <c:pt idx="51">
                  <c:v>3</c:v>
                </c:pt>
                <c:pt idx="52">
                  <c:v>1</c:v>
                </c:pt>
                <c:pt idx="53">
                  <c:v>6</c:v>
                </c:pt>
                <c:pt idx="54">
                  <c:v>0</c:v>
                </c:pt>
                <c:pt idx="55">
                  <c:v>0</c:v>
                </c:pt>
                <c:pt idx="56">
                  <c:v>3</c:v>
                </c:pt>
                <c:pt idx="57">
                  <c:v>0</c:v>
                </c:pt>
                <c:pt idx="58">
                  <c:v>2</c:v>
                </c:pt>
                <c:pt idx="59">
                  <c:v>3</c:v>
                </c:pt>
                <c:pt idx="60">
                  <c:v>2</c:v>
                </c:pt>
                <c:pt idx="61">
                  <c:v>0</c:v>
                </c:pt>
                <c:pt idx="62">
                  <c:v>1</c:v>
                </c:pt>
                <c:pt idx="63">
                  <c:v>0</c:v>
                </c:pt>
                <c:pt idx="64">
                  <c:v>1</c:v>
                </c:pt>
                <c:pt idx="65">
                  <c:v>0</c:v>
                </c:pt>
                <c:pt idx="66">
                  <c:v>1</c:v>
                </c:pt>
                <c:pt idx="67">
                  <c:v>2</c:v>
                </c:pt>
                <c:pt idx="68">
                  <c:v>1</c:v>
                </c:pt>
                <c:pt idx="69">
                  <c:v>1</c:v>
                </c:pt>
                <c:pt idx="70">
                  <c:v>0</c:v>
                </c:pt>
                <c:pt idx="71">
                  <c:v>1</c:v>
                </c:pt>
                <c:pt idx="72">
                  <c:v>2</c:v>
                </c:pt>
                <c:pt idx="73">
                  <c:v>1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2</c:v>
                </c:pt>
                <c:pt idx="79">
                  <c:v>1</c:v>
                </c:pt>
                <c:pt idx="80">
                  <c:v>2</c:v>
                </c:pt>
                <c:pt idx="81">
                  <c:v>1</c:v>
                </c:pt>
                <c:pt idx="82">
                  <c:v>0</c:v>
                </c:pt>
                <c:pt idx="83">
                  <c:v>0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0</c:v>
                </c:pt>
                <c:pt idx="89">
                  <c:v>2</c:v>
                </c:pt>
                <c:pt idx="90">
                  <c:v>3</c:v>
                </c:pt>
                <c:pt idx="91">
                  <c:v>3</c:v>
                </c:pt>
                <c:pt idx="92">
                  <c:v>1</c:v>
                </c:pt>
                <c:pt idx="93">
                  <c:v>3</c:v>
                </c:pt>
                <c:pt idx="94">
                  <c:v>3</c:v>
                </c:pt>
                <c:pt idx="95">
                  <c:v>4</c:v>
                </c:pt>
                <c:pt idx="96">
                  <c:v>0</c:v>
                </c:pt>
                <c:pt idx="97">
                  <c:v>2</c:v>
                </c:pt>
                <c:pt idx="98">
                  <c:v>0</c:v>
                </c:pt>
                <c:pt idx="99">
                  <c:v>2</c:v>
                </c:pt>
                <c:pt idx="100">
                  <c:v>1</c:v>
                </c:pt>
                <c:pt idx="101">
                  <c:v>0</c:v>
                </c:pt>
                <c:pt idx="102">
                  <c:v>0</c:v>
                </c:pt>
                <c:pt idx="103">
                  <c:v>1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1</c:v>
                </c:pt>
                <c:pt idx="108">
                  <c:v>0</c:v>
                </c:pt>
                <c:pt idx="109">
                  <c:v>0</c:v>
                </c:pt>
                <c:pt idx="110">
                  <c:v>1</c:v>
                </c:pt>
                <c:pt idx="111">
                  <c:v>1</c:v>
                </c:pt>
                <c:pt idx="112">
                  <c:v>7</c:v>
                </c:pt>
                <c:pt idx="113">
                  <c:v>2</c:v>
                </c:pt>
                <c:pt idx="114">
                  <c:v>1</c:v>
                </c:pt>
                <c:pt idx="115">
                  <c:v>0</c:v>
                </c:pt>
                <c:pt idx="116">
                  <c:v>2</c:v>
                </c:pt>
                <c:pt idx="117">
                  <c:v>2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2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2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2</c:v>
                </c:pt>
                <c:pt idx="131">
                  <c:v>1</c:v>
                </c:pt>
                <c:pt idx="132">
                  <c:v>1</c:v>
                </c:pt>
                <c:pt idx="133">
                  <c:v>2</c:v>
                </c:pt>
                <c:pt idx="134">
                  <c:v>0</c:v>
                </c:pt>
                <c:pt idx="135">
                  <c:v>1</c:v>
                </c:pt>
                <c:pt idx="136">
                  <c:v>2</c:v>
                </c:pt>
                <c:pt idx="137">
                  <c:v>4</c:v>
                </c:pt>
                <c:pt idx="138">
                  <c:v>2</c:v>
                </c:pt>
                <c:pt idx="139">
                  <c:v>0</c:v>
                </c:pt>
                <c:pt idx="140">
                  <c:v>2</c:v>
                </c:pt>
                <c:pt idx="141">
                  <c:v>3</c:v>
                </c:pt>
                <c:pt idx="142">
                  <c:v>2</c:v>
                </c:pt>
                <c:pt idx="143">
                  <c:v>1</c:v>
                </c:pt>
                <c:pt idx="144">
                  <c:v>1</c:v>
                </c:pt>
                <c:pt idx="145">
                  <c:v>0</c:v>
                </c:pt>
                <c:pt idx="146">
                  <c:v>1</c:v>
                </c:pt>
                <c:pt idx="147">
                  <c:v>3</c:v>
                </c:pt>
                <c:pt idx="148">
                  <c:v>1</c:v>
                </c:pt>
                <c:pt idx="149">
                  <c:v>2</c:v>
                </c:pt>
                <c:pt idx="150">
                  <c:v>0</c:v>
                </c:pt>
                <c:pt idx="151">
                  <c:v>1</c:v>
                </c:pt>
                <c:pt idx="152">
                  <c:v>2</c:v>
                </c:pt>
                <c:pt idx="153">
                  <c:v>2</c:v>
                </c:pt>
                <c:pt idx="154">
                  <c:v>5</c:v>
                </c:pt>
                <c:pt idx="155">
                  <c:v>2</c:v>
                </c:pt>
                <c:pt idx="156">
                  <c:v>0</c:v>
                </c:pt>
                <c:pt idx="157">
                  <c:v>2</c:v>
                </c:pt>
                <c:pt idx="158">
                  <c:v>2</c:v>
                </c:pt>
                <c:pt idx="159">
                  <c:v>1</c:v>
                </c:pt>
                <c:pt idx="160">
                  <c:v>2</c:v>
                </c:pt>
                <c:pt idx="161">
                  <c:v>1</c:v>
                </c:pt>
                <c:pt idx="162">
                  <c:v>0</c:v>
                </c:pt>
                <c:pt idx="163">
                  <c:v>2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3</c:v>
                </c:pt>
                <c:pt idx="171">
                  <c:v>0</c:v>
                </c:pt>
                <c:pt idx="172">
                  <c:v>0</c:v>
                </c:pt>
                <c:pt idx="173">
                  <c:v>1</c:v>
                </c:pt>
                <c:pt idx="174">
                  <c:v>0</c:v>
                </c:pt>
                <c:pt idx="175">
                  <c:v>3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1</c:v>
                </c:pt>
                <c:pt idx="180">
                  <c:v>0</c:v>
                </c:pt>
                <c:pt idx="181">
                  <c:v>0</c:v>
                </c:pt>
                <c:pt idx="182">
                  <c:v>1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1</c:v>
                </c:pt>
                <c:pt idx="187">
                  <c:v>0</c:v>
                </c:pt>
                <c:pt idx="188">
                  <c:v>0</c:v>
                </c:pt>
                <c:pt idx="189">
                  <c:v>2</c:v>
                </c:pt>
                <c:pt idx="190">
                  <c:v>1</c:v>
                </c:pt>
                <c:pt idx="191">
                  <c:v>0</c:v>
                </c:pt>
                <c:pt idx="192">
                  <c:v>1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1</c:v>
                </c:pt>
                <c:pt idx="197">
                  <c:v>1</c:v>
                </c:pt>
                <c:pt idx="198">
                  <c:v>0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2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1</c:v>
                </c:pt>
                <c:pt idx="214">
                  <c:v>0</c:v>
                </c:pt>
                <c:pt idx="215">
                  <c:v>1</c:v>
                </c:pt>
                <c:pt idx="216">
                  <c:v>0</c:v>
                </c:pt>
                <c:pt idx="217">
                  <c:v>1</c:v>
                </c:pt>
                <c:pt idx="218">
                  <c:v>0</c:v>
                </c:pt>
                <c:pt idx="219">
                  <c:v>0</c:v>
                </c:pt>
                <c:pt idx="220">
                  <c:v>1</c:v>
                </c:pt>
                <c:pt idx="221">
                  <c:v>3</c:v>
                </c:pt>
                <c:pt idx="222">
                  <c:v>0</c:v>
                </c:pt>
                <c:pt idx="223">
                  <c:v>1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2</c:v>
                </c:pt>
                <c:pt idx="228">
                  <c:v>2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1</c:v>
                </c:pt>
                <c:pt idx="235">
                  <c:v>0</c:v>
                </c:pt>
                <c:pt idx="236">
                  <c:v>0</c:v>
                </c:pt>
                <c:pt idx="237">
                  <c:v>1</c:v>
                </c:pt>
                <c:pt idx="238">
                  <c:v>1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1</c:v>
                </c:pt>
                <c:pt idx="247">
                  <c:v>0</c:v>
                </c:pt>
                <c:pt idx="248">
                  <c:v>0</c:v>
                </c:pt>
                <c:pt idx="249">
                  <c:v>2</c:v>
                </c:pt>
                <c:pt idx="250">
                  <c:v>0</c:v>
                </c:pt>
                <c:pt idx="251">
                  <c:v>0</c:v>
                </c:pt>
                <c:pt idx="252">
                  <c:v>1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1</c:v>
                </c:pt>
                <c:pt idx="260">
                  <c:v>0</c:v>
                </c:pt>
                <c:pt idx="261">
                  <c:v>0</c:v>
                </c:pt>
                <c:pt idx="262">
                  <c:v>1</c:v>
                </c:pt>
                <c:pt idx="263">
                  <c:v>0</c:v>
                </c:pt>
                <c:pt idx="264">
                  <c:v>0</c:v>
                </c:pt>
                <c:pt idx="265">
                  <c:v>1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1</c:v>
                </c:pt>
                <c:pt idx="270">
                  <c:v>2</c:v>
                </c:pt>
                <c:pt idx="271">
                  <c:v>0</c:v>
                </c:pt>
                <c:pt idx="272">
                  <c:v>4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1</c:v>
                </c:pt>
                <c:pt idx="277">
                  <c:v>1</c:v>
                </c:pt>
                <c:pt idx="278">
                  <c:v>0</c:v>
                </c:pt>
                <c:pt idx="279">
                  <c:v>3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1</c:v>
                </c:pt>
                <c:pt idx="285">
                  <c:v>0</c:v>
                </c:pt>
                <c:pt idx="286">
                  <c:v>0</c:v>
                </c:pt>
                <c:pt idx="287">
                  <c:v>1</c:v>
                </c:pt>
                <c:pt idx="288">
                  <c:v>0</c:v>
                </c:pt>
                <c:pt idx="289">
                  <c:v>1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1</c:v>
                </c:pt>
                <c:pt idx="295">
                  <c:v>0</c:v>
                </c:pt>
                <c:pt idx="296">
                  <c:v>1</c:v>
                </c:pt>
                <c:pt idx="297">
                  <c:v>0</c:v>
                </c:pt>
                <c:pt idx="298">
                  <c:v>1</c:v>
                </c:pt>
                <c:pt idx="299">
                  <c:v>2</c:v>
                </c:pt>
                <c:pt idx="300">
                  <c:v>0</c:v>
                </c:pt>
                <c:pt idx="301">
                  <c:v>2</c:v>
                </c:pt>
                <c:pt idx="302">
                  <c:v>1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1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1</c:v>
                </c:pt>
                <c:pt idx="317">
                  <c:v>0</c:v>
                </c:pt>
                <c:pt idx="318">
                  <c:v>1</c:v>
                </c:pt>
                <c:pt idx="319">
                  <c:v>1</c:v>
                </c:pt>
                <c:pt idx="320">
                  <c:v>1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1</c:v>
                </c:pt>
                <c:pt idx="325">
                  <c:v>0</c:v>
                </c:pt>
                <c:pt idx="326">
                  <c:v>0</c:v>
                </c:pt>
                <c:pt idx="327">
                  <c:v>3</c:v>
                </c:pt>
                <c:pt idx="328">
                  <c:v>1</c:v>
                </c:pt>
                <c:pt idx="329">
                  <c:v>0</c:v>
                </c:pt>
                <c:pt idx="330">
                  <c:v>1</c:v>
                </c:pt>
                <c:pt idx="331">
                  <c:v>0</c:v>
                </c:pt>
                <c:pt idx="332">
                  <c:v>1</c:v>
                </c:pt>
                <c:pt idx="333">
                  <c:v>1</c:v>
                </c:pt>
                <c:pt idx="334">
                  <c:v>0</c:v>
                </c:pt>
                <c:pt idx="335">
                  <c:v>0</c:v>
                </c:pt>
                <c:pt idx="336">
                  <c:v>1</c:v>
                </c:pt>
                <c:pt idx="337">
                  <c:v>0</c:v>
                </c:pt>
                <c:pt idx="338">
                  <c:v>0</c:v>
                </c:pt>
                <c:pt idx="339">
                  <c:v>4</c:v>
                </c:pt>
                <c:pt idx="340">
                  <c:v>1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1</c:v>
                </c:pt>
                <c:pt idx="346">
                  <c:v>0</c:v>
                </c:pt>
                <c:pt idx="347">
                  <c:v>1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2</c:v>
                </c:pt>
                <c:pt idx="354">
                  <c:v>2</c:v>
                </c:pt>
                <c:pt idx="355">
                  <c:v>1</c:v>
                </c:pt>
                <c:pt idx="356">
                  <c:v>1</c:v>
                </c:pt>
                <c:pt idx="357">
                  <c:v>1</c:v>
                </c:pt>
                <c:pt idx="358">
                  <c:v>1</c:v>
                </c:pt>
                <c:pt idx="359">
                  <c:v>0</c:v>
                </c:pt>
                <c:pt idx="360">
                  <c:v>2</c:v>
                </c:pt>
                <c:pt idx="361">
                  <c:v>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8885032"/>
        <c:axId val="311076560"/>
      </c:scatterChart>
      <c:valAx>
        <c:axId val="3088850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Количество цитирований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11076560"/>
        <c:crosses val="autoZero"/>
        <c:crossBetween val="midCat"/>
      </c:valAx>
      <c:valAx>
        <c:axId val="311076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Количество</a:t>
                </a:r>
                <a:r>
                  <a:rPr lang="ru-RU" baseline="0"/>
                  <a:t> авторов-женщин</a:t>
                </a:r>
                <a:endParaRPr lang="ru-RU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08885032"/>
        <c:crosses val="autoZero"/>
        <c:crossBetween val="midCat"/>
      </c:valAx>
      <c:spPr>
        <a:noFill/>
        <a:ln w="25400"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Корреляция</a:t>
            </a:r>
            <a:r>
              <a:rPr lang="ru-RU" baseline="0"/>
              <a:t> между числом авторов-мужчин и количеством цитирований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Расчёты!$E$2:$E$363</c:f>
              <c:numCache>
                <c:formatCode>General</c:formatCode>
                <c:ptCount val="362"/>
                <c:pt idx="0">
                  <c:v>97</c:v>
                </c:pt>
                <c:pt idx="1">
                  <c:v>74</c:v>
                </c:pt>
                <c:pt idx="2">
                  <c:v>45</c:v>
                </c:pt>
                <c:pt idx="3">
                  <c:v>37</c:v>
                </c:pt>
                <c:pt idx="4">
                  <c:v>35</c:v>
                </c:pt>
                <c:pt idx="5">
                  <c:v>33</c:v>
                </c:pt>
                <c:pt idx="6">
                  <c:v>28</c:v>
                </c:pt>
                <c:pt idx="7">
                  <c:v>26</c:v>
                </c:pt>
                <c:pt idx="8">
                  <c:v>25</c:v>
                </c:pt>
                <c:pt idx="9">
                  <c:v>25</c:v>
                </c:pt>
                <c:pt idx="10">
                  <c:v>25</c:v>
                </c:pt>
                <c:pt idx="11">
                  <c:v>24</c:v>
                </c:pt>
                <c:pt idx="12">
                  <c:v>24</c:v>
                </c:pt>
                <c:pt idx="13">
                  <c:v>23</c:v>
                </c:pt>
                <c:pt idx="14">
                  <c:v>23</c:v>
                </c:pt>
                <c:pt idx="15">
                  <c:v>21</c:v>
                </c:pt>
                <c:pt idx="16">
                  <c:v>20</c:v>
                </c:pt>
                <c:pt idx="17">
                  <c:v>18</c:v>
                </c:pt>
                <c:pt idx="18">
                  <c:v>17</c:v>
                </c:pt>
                <c:pt idx="19">
                  <c:v>16</c:v>
                </c:pt>
                <c:pt idx="20">
                  <c:v>15</c:v>
                </c:pt>
                <c:pt idx="21">
                  <c:v>14</c:v>
                </c:pt>
                <c:pt idx="22">
                  <c:v>14</c:v>
                </c:pt>
                <c:pt idx="23">
                  <c:v>14</c:v>
                </c:pt>
                <c:pt idx="24">
                  <c:v>14</c:v>
                </c:pt>
                <c:pt idx="25">
                  <c:v>14</c:v>
                </c:pt>
                <c:pt idx="26">
                  <c:v>13</c:v>
                </c:pt>
                <c:pt idx="27">
                  <c:v>13</c:v>
                </c:pt>
                <c:pt idx="28">
                  <c:v>13</c:v>
                </c:pt>
                <c:pt idx="29">
                  <c:v>13</c:v>
                </c:pt>
                <c:pt idx="30">
                  <c:v>11</c:v>
                </c:pt>
                <c:pt idx="31">
                  <c:v>11</c:v>
                </c:pt>
                <c:pt idx="32">
                  <c:v>11</c:v>
                </c:pt>
                <c:pt idx="33">
                  <c:v>10</c:v>
                </c:pt>
                <c:pt idx="34">
                  <c:v>10</c:v>
                </c:pt>
                <c:pt idx="35">
                  <c:v>10</c:v>
                </c:pt>
                <c:pt idx="36">
                  <c:v>9</c:v>
                </c:pt>
                <c:pt idx="37">
                  <c:v>9</c:v>
                </c:pt>
                <c:pt idx="38">
                  <c:v>9</c:v>
                </c:pt>
                <c:pt idx="39">
                  <c:v>9</c:v>
                </c:pt>
                <c:pt idx="40">
                  <c:v>9</c:v>
                </c:pt>
                <c:pt idx="41">
                  <c:v>9</c:v>
                </c:pt>
                <c:pt idx="42">
                  <c:v>8</c:v>
                </c:pt>
                <c:pt idx="43">
                  <c:v>8</c:v>
                </c:pt>
                <c:pt idx="44">
                  <c:v>8</c:v>
                </c:pt>
                <c:pt idx="45">
                  <c:v>8</c:v>
                </c:pt>
                <c:pt idx="46">
                  <c:v>7</c:v>
                </c:pt>
                <c:pt idx="47">
                  <c:v>7</c:v>
                </c:pt>
                <c:pt idx="48">
                  <c:v>7</c:v>
                </c:pt>
                <c:pt idx="49">
                  <c:v>7</c:v>
                </c:pt>
                <c:pt idx="50">
                  <c:v>7</c:v>
                </c:pt>
                <c:pt idx="51">
                  <c:v>7</c:v>
                </c:pt>
                <c:pt idx="52">
                  <c:v>7</c:v>
                </c:pt>
                <c:pt idx="53">
                  <c:v>7</c:v>
                </c:pt>
                <c:pt idx="54">
                  <c:v>7</c:v>
                </c:pt>
                <c:pt idx="55">
                  <c:v>7</c:v>
                </c:pt>
                <c:pt idx="56">
                  <c:v>7</c:v>
                </c:pt>
                <c:pt idx="57">
                  <c:v>6</c:v>
                </c:pt>
                <c:pt idx="58">
                  <c:v>6</c:v>
                </c:pt>
                <c:pt idx="59">
                  <c:v>6</c:v>
                </c:pt>
                <c:pt idx="60">
                  <c:v>6</c:v>
                </c:pt>
                <c:pt idx="61">
                  <c:v>6</c:v>
                </c:pt>
                <c:pt idx="62">
                  <c:v>6</c:v>
                </c:pt>
                <c:pt idx="63">
                  <c:v>6</c:v>
                </c:pt>
                <c:pt idx="64">
                  <c:v>6</c:v>
                </c:pt>
                <c:pt idx="65">
                  <c:v>6</c:v>
                </c:pt>
                <c:pt idx="66">
                  <c:v>6</c:v>
                </c:pt>
                <c:pt idx="67">
                  <c:v>5</c:v>
                </c:pt>
                <c:pt idx="68">
                  <c:v>5</c:v>
                </c:pt>
                <c:pt idx="69">
                  <c:v>5</c:v>
                </c:pt>
                <c:pt idx="70">
                  <c:v>5</c:v>
                </c:pt>
                <c:pt idx="71">
                  <c:v>5</c:v>
                </c:pt>
                <c:pt idx="72">
                  <c:v>5</c:v>
                </c:pt>
                <c:pt idx="73">
                  <c:v>5</c:v>
                </c:pt>
                <c:pt idx="74">
                  <c:v>5</c:v>
                </c:pt>
                <c:pt idx="75">
                  <c:v>5</c:v>
                </c:pt>
                <c:pt idx="76">
                  <c:v>5</c:v>
                </c:pt>
                <c:pt idx="77">
                  <c:v>5</c:v>
                </c:pt>
                <c:pt idx="78">
                  <c:v>5</c:v>
                </c:pt>
                <c:pt idx="79">
                  <c:v>5</c:v>
                </c:pt>
                <c:pt idx="80">
                  <c:v>4</c:v>
                </c:pt>
                <c:pt idx="81">
                  <c:v>4</c:v>
                </c:pt>
                <c:pt idx="82">
                  <c:v>4</c:v>
                </c:pt>
                <c:pt idx="83">
                  <c:v>4</c:v>
                </c:pt>
                <c:pt idx="84">
                  <c:v>4</c:v>
                </c:pt>
                <c:pt idx="85">
                  <c:v>4</c:v>
                </c:pt>
                <c:pt idx="86">
                  <c:v>4</c:v>
                </c:pt>
                <c:pt idx="87">
                  <c:v>4</c:v>
                </c:pt>
                <c:pt idx="88">
                  <c:v>4</c:v>
                </c:pt>
                <c:pt idx="89">
                  <c:v>4</c:v>
                </c:pt>
                <c:pt idx="90">
                  <c:v>4</c:v>
                </c:pt>
                <c:pt idx="91">
                  <c:v>3</c:v>
                </c:pt>
                <c:pt idx="92">
                  <c:v>3</c:v>
                </c:pt>
                <c:pt idx="93">
                  <c:v>3</c:v>
                </c:pt>
                <c:pt idx="94">
                  <c:v>3</c:v>
                </c:pt>
                <c:pt idx="95">
                  <c:v>3</c:v>
                </c:pt>
                <c:pt idx="96">
                  <c:v>3</c:v>
                </c:pt>
                <c:pt idx="97">
                  <c:v>3</c:v>
                </c:pt>
                <c:pt idx="98">
                  <c:v>3</c:v>
                </c:pt>
                <c:pt idx="99">
                  <c:v>3</c:v>
                </c:pt>
                <c:pt idx="100">
                  <c:v>3</c:v>
                </c:pt>
                <c:pt idx="101">
                  <c:v>3</c:v>
                </c:pt>
                <c:pt idx="102">
                  <c:v>3</c:v>
                </c:pt>
                <c:pt idx="103">
                  <c:v>3</c:v>
                </c:pt>
                <c:pt idx="104">
                  <c:v>3</c:v>
                </c:pt>
                <c:pt idx="105">
                  <c:v>3</c:v>
                </c:pt>
                <c:pt idx="106">
                  <c:v>3</c:v>
                </c:pt>
                <c:pt idx="107">
                  <c:v>3</c:v>
                </c:pt>
                <c:pt idx="108">
                  <c:v>3</c:v>
                </c:pt>
                <c:pt idx="109">
                  <c:v>3</c:v>
                </c:pt>
                <c:pt idx="110">
                  <c:v>3</c:v>
                </c:pt>
                <c:pt idx="111">
                  <c:v>3</c:v>
                </c:pt>
                <c:pt idx="112">
                  <c:v>3</c:v>
                </c:pt>
                <c:pt idx="113">
                  <c:v>3</c:v>
                </c:pt>
                <c:pt idx="114">
                  <c:v>3</c:v>
                </c:pt>
                <c:pt idx="115">
                  <c:v>3</c:v>
                </c:pt>
                <c:pt idx="116">
                  <c:v>3</c:v>
                </c:pt>
                <c:pt idx="117">
                  <c:v>3</c:v>
                </c:pt>
                <c:pt idx="118">
                  <c:v>3</c:v>
                </c:pt>
                <c:pt idx="119">
                  <c:v>3</c:v>
                </c:pt>
                <c:pt idx="120">
                  <c:v>2</c:v>
                </c:pt>
                <c:pt idx="121">
                  <c:v>2</c:v>
                </c:pt>
                <c:pt idx="122">
                  <c:v>2</c:v>
                </c:pt>
                <c:pt idx="123">
                  <c:v>2</c:v>
                </c:pt>
                <c:pt idx="124">
                  <c:v>2</c:v>
                </c:pt>
                <c:pt idx="125">
                  <c:v>2</c:v>
                </c:pt>
                <c:pt idx="126">
                  <c:v>2</c:v>
                </c:pt>
                <c:pt idx="127">
                  <c:v>2</c:v>
                </c:pt>
                <c:pt idx="128">
                  <c:v>2</c:v>
                </c:pt>
                <c:pt idx="129">
                  <c:v>2</c:v>
                </c:pt>
                <c:pt idx="130">
                  <c:v>2</c:v>
                </c:pt>
                <c:pt idx="131">
                  <c:v>2</c:v>
                </c:pt>
                <c:pt idx="132">
                  <c:v>2</c:v>
                </c:pt>
                <c:pt idx="133">
                  <c:v>2</c:v>
                </c:pt>
                <c:pt idx="134">
                  <c:v>2</c:v>
                </c:pt>
                <c:pt idx="135">
                  <c:v>2</c:v>
                </c:pt>
                <c:pt idx="136">
                  <c:v>2</c:v>
                </c:pt>
                <c:pt idx="137">
                  <c:v>2</c:v>
                </c:pt>
                <c:pt idx="138">
                  <c:v>2</c:v>
                </c:pt>
                <c:pt idx="139">
                  <c:v>2</c:v>
                </c:pt>
                <c:pt idx="140">
                  <c:v>2</c:v>
                </c:pt>
                <c:pt idx="141">
                  <c:v>2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</c:numCache>
            </c:numRef>
          </c:xVal>
          <c:yVal>
            <c:numRef>
              <c:f>Расчёты!$AL$2:$AL$363</c:f>
              <c:numCache>
                <c:formatCode>General</c:formatCode>
                <c:ptCount val="362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3</c:v>
                </c:pt>
                <c:pt idx="4">
                  <c:v>1</c:v>
                </c:pt>
                <c:pt idx="5">
                  <c:v>3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1</c:v>
                </c:pt>
                <c:pt idx="11">
                  <c:v>1</c:v>
                </c:pt>
                <c:pt idx="12">
                  <c:v>3</c:v>
                </c:pt>
                <c:pt idx="13">
                  <c:v>2</c:v>
                </c:pt>
                <c:pt idx="14">
                  <c:v>0</c:v>
                </c:pt>
                <c:pt idx="15">
                  <c:v>0</c:v>
                </c:pt>
                <c:pt idx="16">
                  <c:v>3</c:v>
                </c:pt>
                <c:pt idx="17">
                  <c:v>0</c:v>
                </c:pt>
                <c:pt idx="18">
                  <c:v>2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2</c:v>
                </c:pt>
                <c:pt idx="23">
                  <c:v>1</c:v>
                </c:pt>
                <c:pt idx="24">
                  <c:v>0</c:v>
                </c:pt>
                <c:pt idx="25">
                  <c:v>1</c:v>
                </c:pt>
                <c:pt idx="26">
                  <c:v>1</c:v>
                </c:pt>
                <c:pt idx="27">
                  <c:v>4</c:v>
                </c:pt>
                <c:pt idx="28">
                  <c:v>2</c:v>
                </c:pt>
                <c:pt idx="29">
                  <c:v>0</c:v>
                </c:pt>
                <c:pt idx="30">
                  <c:v>0</c:v>
                </c:pt>
                <c:pt idx="31">
                  <c:v>1</c:v>
                </c:pt>
                <c:pt idx="32">
                  <c:v>0</c:v>
                </c:pt>
                <c:pt idx="33">
                  <c:v>1</c:v>
                </c:pt>
                <c:pt idx="34">
                  <c:v>1</c:v>
                </c:pt>
                <c:pt idx="35">
                  <c:v>2</c:v>
                </c:pt>
                <c:pt idx="36">
                  <c:v>2</c:v>
                </c:pt>
                <c:pt idx="37">
                  <c:v>1</c:v>
                </c:pt>
                <c:pt idx="38">
                  <c:v>0</c:v>
                </c:pt>
                <c:pt idx="39">
                  <c:v>2</c:v>
                </c:pt>
                <c:pt idx="40">
                  <c:v>2</c:v>
                </c:pt>
                <c:pt idx="41">
                  <c:v>0</c:v>
                </c:pt>
                <c:pt idx="42">
                  <c:v>0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0</c:v>
                </c:pt>
                <c:pt idx="49">
                  <c:v>1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0</c:v>
                </c:pt>
                <c:pt idx="57">
                  <c:v>0</c:v>
                </c:pt>
                <c:pt idx="58">
                  <c:v>2</c:v>
                </c:pt>
                <c:pt idx="59">
                  <c:v>1</c:v>
                </c:pt>
                <c:pt idx="60">
                  <c:v>0</c:v>
                </c:pt>
                <c:pt idx="61">
                  <c:v>1</c:v>
                </c:pt>
                <c:pt idx="62">
                  <c:v>1</c:v>
                </c:pt>
                <c:pt idx="63">
                  <c:v>3</c:v>
                </c:pt>
                <c:pt idx="64">
                  <c:v>1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1</c:v>
                </c:pt>
                <c:pt idx="71">
                  <c:v>0</c:v>
                </c:pt>
                <c:pt idx="72">
                  <c:v>1</c:v>
                </c:pt>
                <c:pt idx="73">
                  <c:v>0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0</c:v>
                </c:pt>
                <c:pt idx="78">
                  <c:v>2</c:v>
                </c:pt>
                <c:pt idx="79">
                  <c:v>2</c:v>
                </c:pt>
                <c:pt idx="80">
                  <c:v>0</c:v>
                </c:pt>
                <c:pt idx="81">
                  <c:v>3</c:v>
                </c:pt>
                <c:pt idx="82">
                  <c:v>1</c:v>
                </c:pt>
                <c:pt idx="83">
                  <c:v>1</c:v>
                </c:pt>
                <c:pt idx="84">
                  <c:v>0</c:v>
                </c:pt>
                <c:pt idx="85">
                  <c:v>1</c:v>
                </c:pt>
                <c:pt idx="86">
                  <c:v>1</c:v>
                </c:pt>
                <c:pt idx="87">
                  <c:v>2</c:v>
                </c:pt>
                <c:pt idx="88">
                  <c:v>1</c:v>
                </c:pt>
                <c:pt idx="89">
                  <c:v>0</c:v>
                </c:pt>
                <c:pt idx="90">
                  <c:v>0</c:v>
                </c:pt>
                <c:pt idx="91">
                  <c:v>1</c:v>
                </c:pt>
                <c:pt idx="92">
                  <c:v>0</c:v>
                </c:pt>
                <c:pt idx="93">
                  <c:v>0</c:v>
                </c:pt>
                <c:pt idx="94">
                  <c:v>2</c:v>
                </c:pt>
                <c:pt idx="95">
                  <c:v>2</c:v>
                </c:pt>
                <c:pt idx="96">
                  <c:v>4</c:v>
                </c:pt>
                <c:pt idx="97">
                  <c:v>0</c:v>
                </c:pt>
                <c:pt idx="98">
                  <c:v>1</c:v>
                </c:pt>
                <c:pt idx="99">
                  <c:v>0</c:v>
                </c:pt>
                <c:pt idx="100">
                  <c:v>2</c:v>
                </c:pt>
                <c:pt idx="101">
                  <c:v>2</c:v>
                </c:pt>
                <c:pt idx="102">
                  <c:v>1</c:v>
                </c:pt>
                <c:pt idx="103">
                  <c:v>1</c:v>
                </c:pt>
                <c:pt idx="104">
                  <c:v>3</c:v>
                </c:pt>
                <c:pt idx="105">
                  <c:v>1</c:v>
                </c:pt>
                <c:pt idx="106">
                  <c:v>3</c:v>
                </c:pt>
                <c:pt idx="107">
                  <c:v>0</c:v>
                </c:pt>
                <c:pt idx="108">
                  <c:v>1</c:v>
                </c:pt>
                <c:pt idx="109">
                  <c:v>1</c:v>
                </c:pt>
                <c:pt idx="110">
                  <c:v>2</c:v>
                </c:pt>
                <c:pt idx="111">
                  <c:v>0</c:v>
                </c:pt>
                <c:pt idx="112">
                  <c:v>1</c:v>
                </c:pt>
                <c:pt idx="113">
                  <c:v>2</c:v>
                </c:pt>
                <c:pt idx="114">
                  <c:v>2</c:v>
                </c:pt>
                <c:pt idx="115">
                  <c:v>3</c:v>
                </c:pt>
                <c:pt idx="116">
                  <c:v>0</c:v>
                </c:pt>
                <c:pt idx="117">
                  <c:v>1</c:v>
                </c:pt>
                <c:pt idx="118">
                  <c:v>2</c:v>
                </c:pt>
                <c:pt idx="119">
                  <c:v>2</c:v>
                </c:pt>
                <c:pt idx="120">
                  <c:v>1</c:v>
                </c:pt>
                <c:pt idx="121">
                  <c:v>0</c:v>
                </c:pt>
                <c:pt idx="122">
                  <c:v>0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0</c:v>
                </c:pt>
                <c:pt idx="127">
                  <c:v>2</c:v>
                </c:pt>
                <c:pt idx="128">
                  <c:v>1</c:v>
                </c:pt>
                <c:pt idx="129">
                  <c:v>0</c:v>
                </c:pt>
                <c:pt idx="130">
                  <c:v>1</c:v>
                </c:pt>
                <c:pt idx="131">
                  <c:v>1</c:v>
                </c:pt>
                <c:pt idx="132">
                  <c:v>0</c:v>
                </c:pt>
                <c:pt idx="133">
                  <c:v>2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0</c:v>
                </c:pt>
                <c:pt idx="139">
                  <c:v>1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2</c:v>
                </c:pt>
                <c:pt idx="144">
                  <c:v>1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1</c:v>
                </c:pt>
                <c:pt idx="151">
                  <c:v>0</c:v>
                </c:pt>
                <c:pt idx="152">
                  <c:v>0</c:v>
                </c:pt>
                <c:pt idx="153">
                  <c:v>1</c:v>
                </c:pt>
                <c:pt idx="154">
                  <c:v>0</c:v>
                </c:pt>
                <c:pt idx="155">
                  <c:v>1</c:v>
                </c:pt>
                <c:pt idx="156">
                  <c:v>3</c:v>
                </c:pt>
                <c:pt idx="157">
                  <c:v>2</c:v>
                </c:pt>
                <c:pt idx="158">
                  <c:v>1</c:v>
                </c:pt>
                <c:pt idx="159">
                  <c:v>0</c:v>
                </c:pt>
                <c:pt idx="160">
                  <c:v>3</c:v>
                </c:pt>
                <c:pt idx="161">
                  <c:v>2</c:v>
                </c:pt>
                <c:pt idx="162">
                  <c:v>1</c:v>
                </c:pt>
                <c:pt idx="163">
                  <c:v>0</c:v>
                </c:pt>
                <c:pt idx="164">
                  <c:v>2</c:v>
                </c:pt>
                <c:pt idx="165">
                  <c:v>1</c:v>
                </c:pt>
                <c:pt idx="166">
                  <c:v>0</c:v>
                </c:pt>
                <c:pt idx="167">
                  <c:v>2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4</c:v>
                </c:pt>
                <c:pt idx="172">
                  <c:v>0</c:v>
                </c:pt>
                <c:pt idx="173">
                  <c:v>1</c:v>
                </c:pt>
                <c:pt idx="174">
                  <c:v>0</c:v>
                </c:pt>
                <c:pt idx="175">
                  <c:v>1</c:v>
                </c:pt>
                <c:pt idx="176">
                  <c:v>0</c:v>
                </c:pt>
                <c:pt idx="177">
                  <c:v>1</c:v>
                </c:pt>
                <c:pt idx="178">
                  <c:v>4</c:v>
                </c:pt>
                <c:pt idx="179">
                  <c:v>2</c:v>
                </c:pt>
                <c:pt idx="180">
                  <c:v>1</c:v>
                </c:pt>
                <c:pt idx="181">
                  <c:v>0</c:v>
                </c:pt>
                <c:pt idx="182">
                  <c:v>1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1</c:v>
                </c:pt>
                <c:pt idx="187">
                  <c:v>0</c:v>
                </c:pt>
                <c:pt idx="188">
                  <c:v>0</c:v>
                </c:pt>
                <c:pt idx="189">
                  <c:v>1</c:v>
                </c:pt>
                <c:pt idx="190">
                  <c:v>2</c:v>
                </c:pt>
                <c:pt idx="191">
                  <c:v>3</c:v>
                </c:pt>
                <c:pt idx="192">
                  <c:v>3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1</c:v>
                </c:pt>
                <c:pt idx="197">
                  <c:v>0</c:v>
                </c:pt>
                <c:pt idx="198">
                  <c:v>4</c:v>
                </c:pt>
                <c:pt idx="199">
                  <c:v>0</c:v>
                </c:pt>
                <c:pt idx="200">
                  <c:v>0</c:v>
                </c:pt>
                <c:pt idx="201">
                  <c:v>1</c:v>
                </c:pt>
                <c:pt idx="202">
                  <c:v>0</c:v>
                </c:pt>
                <c:pt idx="203">
                  <c:v>0</c:v>
                </c:pt>
                <c:pt idx="204">
                  <c:v>1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1</c:v>
                </c:pt>
                <c:pt idx="212">
                  <c:v>0</c:v>
                </c:pt>
                <c:pt idx="213">
                  <c:v>0</c:v>
                </c:pt>
                <c:pt idx="214">
                  <c:v>1</c:v>
                </c:pt>
                <c:pt idx="215">
                  <c:v>1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1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1</c:v>
                </c:pt>
                <c:pt idx="225">
                  <c:v>0</c:v>
                </c:pt>
                <c:pt idx="226">
                  <c:v>1</c:v>
                </c:pt>
                <c:pt idx="227">
                  <c:v>1</c:v>
                </c:pt>
                <c:pt idx="228">
                  <c:v>1</c:v>
                </c:pt>
                <c:pt idx="229">
                  <c:v>0</c:v>
                </c:pt>
                <c:pt idx="230">
                  <c:v>3</c:v>
                </c:pt>
                <c:pt idx="231">
                  <c:v>0</c:v>
                </c:pt>
                <c:pt idx="232">
                  <c:v>1</c:v>
                </c:pt>
                <c:pt idx="233">
                  <c:v>0</c:v>
                </c:pt>
                <c:pt idx="234">
                  <c:v>1</c:v>
                </c:pt>
                <c:pt idx="235">
                  <c:v>0</c:v>
                </c:pt>
                <c:pt idx="236">
                  <c:v>0</c:v>
                </c:pt>
                <c:pt idx="237">
                  <c:v>3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1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1</c:v>
                </c:pt>
                <c:pt idx="250">
                  <c:v>4</c:v>
                </c:pt>
                <c:pt idx="251">
                  <c:v>1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1</c:v>
                </c:pt>
                <c:pt idx="257">
                  <c:v>1</c:v>
                </c:pt>
                <c:pt idx="258">
                  <c:v>1</c:v>
                </c:pt>
                <c:pt idx="259">
                  <c:v>0</c:v>
                </c:pt>
                <c:pt idx="260">
                  <c:v>0</c:v>
                </c:pt>
                <c:pt idx="261">
                  <c:v>1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1</c:v>
                </c:pt>
                <c:pt idx="271">
                  <c:v>0</c:v>
                </c:pt>
                <c:pt idx="272">
                  <c:v>1</c:v>
                </c:pt>
                <c:pt idx="273">
                  <c:v>1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1</c:v>
                </c:pt>
                <c:pt idx="278">
                  <c:v>1</c:v>
                </c:pt>
                <c:pt idx="279">
                  <c:v>0</c:v>
                </c:pt>
                <c:pt idx="280">
                  <c:v>0</c:v>
                </c:pt>
                <c:pt idx="281">
                  <c:v>2</c:v>
                </c:pt>
                <c:pt idx="282">
                  <c:v>0</c:v>
                </c:pt>
                <c:pt idx="283">
                  <c:v>0</c:v>
                </c:pt>
                <c:pt idx="284">
                  <c:v>2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1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1</c:v>
                </c:pt>
                <c:pt idx="294">
                  <c:v>0</c:v>
                </c:pt>
                <c:pt idx="295">
                  <c:v>1</c:v>
                </c:pt>
                <c:pt idx="296">
                  <c:v>0</c:v>
                </c:pt>
                <c:pt idx="297">
                  <c:v>0</c:v>
                </c:pt>
                <c:pt idx="298">
                  <c:v>1</c:v>
                </c:pt>
                <c:pt idx="299">
                  <c:v>2</c:v>
                </c:pt>
                <c:pt idx="300">
                  <c:v>0</c:v>
                </c:pt>
                <c:pt idx="301">
                  <c:v>1</c:v>
                </c:pt>
                <c:pt idx="302">
                  <c:v>1</c:v>
                </c:pt>
                <c:pt idx="303">
                  <c:v>0</c:v>
                </c:pt>
                <c:pt idx="304">
                  <c:v>3</c:v>
                </c:pt>
                <c:pt idx="305">
                  <c:v>4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1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1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1</c:v>
                </c:pt>
                <c:pt idx="320">
                  <c:v>0</c:v>
                </c:pt>
                <c:pt idx="321">
                  <c:v>1</c:v>
                </c:pt>
                <c:pt idx="322">
                  <c:v>0</c:v>
                </c:pt>
                <c:pt idx="323">
                  <c:v>0</c:v>
                </c:pt>
                <c:pt idx="324">
                  <c:v>1</c:v>
                </c:pt>
                <c:pt idx="325">
                  <c:v>2</c:v>
                </c:pt>
                <c:pt idx="326">
                  <c:v>0</c:v>
                </c:pt>
                <c:pt idx="327">
                  <c:v>0</c:v>
                </c:pt>
                <c:pt idx="328">
                  <c:v>1</c:v>
                </c:pt>
                <c:pt idx="329">
                  <c:v>0</c:v>
                </c:pt>
                <c:pt idx="330">
                  <c:v>2</c:v>
                </c:pt>
                <c:pt idx="331">
                  <c:v>0</c:v>
                </c:pt>
                <c:pt idx="332">
                  <c:v>1</c:v>
                </c:pt>
                <c:pt idx="333">
                  <c:v>1</c:v>
                </c:pt>
                <c:pt idx="334">
                  <c:v>0</c:v>
                </c:pt>
                <c:pt idx="335">
                  <c:v>0</c:v>
                </c:pt>
                <c:pt idx="336">
                  <c:v>1</c:v>
                </c:pt>
                <c:pt idx="337">
                  <c:v>0</c:v>
                </c:pt>
                <c:pt idx="338">
                  <c:v>0</c:v>
                </c:pt>
                <c:pt idx="339">
                  <c:v>1</c:v>
                </c:pt>
                <c:pt idx="340">
                  <c:v>2</c:v>
                </c:pt>
                <c:pt idx="341">
                  <c:v>2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1</c:v>
                </c:pt>
                <c:pt idx="346">
                  <c:v>1</c:v>
                </c:pt>
                <c:pt idx="347">
                  <c:v>2</c:v>
                </c:pt>
                <c:pt idx="348">
                  <c:v>0</c:v>
                </c:pt>
                <c:pt idx="349">
                  <c:v>1</c:v>
                </c:pt>
                <c:pt idx="350">
                  <c:v>1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1</c:v>
                </c:pt>
                <c:pt idx="355">
                  <c:v>0</c:v>
                </c:pt>
                <c:pt idx="356">
                  <c:v>0</c:v>
                </c:pt>
                <c:pt idx="357">
                  <c:v>1</c:v>
                </c:pt>
                <c:pt idx="358">
                  <c:v>0</c:v>
                </c:pt>
                <c:pt idx="359">
                  <c:v>4</c:v>
                </c:pt>
                <c:pt idx="360">
                  <c:v>0</c:v>
                </c:pt>
                <c:pt idx="361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1076952"/>
        <c:axId val="311073032"/>
      </c:scatterChart>
      <c:valAx>
        <c:axId val="3110769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Количество цитирований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11073032"/>
        <c:crosses val="autoZero"/>
        <c:crossBetween val="midCat"/>
      </c:valAx>
      <c:valAx>
        <c:axId val="311073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Количество авторов-мужчин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11076952"/>
        <c:crosses val="autoZero"/>
        <c:crossBetween val="midCat"/>
      </c:valAx>
      <c:spPr>
        <a:noFill/>
        <a:ln w="25400"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Среднее количество цитирований</a:t>
            </a:r>
            <a:r>
              <a:rPr lang="ru-RU" baseline="0"/>
              <a:t> по годам (метод дробного счёта)</a:t>
            </a:r>
            <a:endParaRPr lang="ru-RU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Женщины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Расчёты!$M$480:$M$486</c:f>
              <c:numCache>
                <c:formatCode>General</c:formatCode>
                <c:ptCount val="7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</c:numCache>
            </c:numRef>
          </c:cat>
          <c:val>
            <c:numRef>
              <c:f>Расчёты!$R$480:$R$486</c:f>
              <c:numCache>
                <c:formatCode>0.00</c:formatCode>
                <c:ptCount val="7"/>
                <c:pt idx="0">
                  <c:v>3.2063550420168068</c:v>
                </c:pt>
                <c:pt idx="1">
                  <c:v>3.7522435847262336</c:v>
                </c:pt>
                <c:pt idx="2">
                  <c:v>3.4312135728426196</c:v>
                </c:pt>
                <c:pt idx="3">
                  <c:v>7.1261231791464352</c:v>
                </c:pt>
                <c:pt idx="4">
                  <c:v>3.9052543846909149</c:v>
                </c:pt>
                <c:pt idx="5">
                  <c:v>3.6164110429447853</c:v>
                </c:pt>
                <c:pt idx="6">
                  <c:v>9.9294117647058826</c:v>
                </c:pt>
              </c:numCache>
            </c:numRef>
          </c:val>
        </c:ser>
        <c:ser>
          <c:idx val="1"/>
          <c:order val="1"/>
          <c:tx>
            <c:v>Мужчины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Расчёты!$M$480:$M$486</c:f>
              <c:numCache>
                <c:formatCode>General</c:formatCode>
                <c:ptCount val="7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</c:numCache>
            </c:numRef>
          </c:cat>
          <c:val>
            <c:numRef>
              <c:f>Расчёты!$S$480:$S$486</c:f>
              <c:numCache>
                <c:formatCode>0.00</c:formatCode>
                <c:ptCount val="7"/>
                <c:pt idx="0">
                  <c:v>2.5516823406478575</c:v>
                </c:pt>
                <c:pt idx="1">
                  <c:v>22.214279295621754</c:v>
                </c:pt>
                <c:pt idx="2">
                  <c:v>13.968382246047042</c:v>
                </c:pt>
                <c:pt idx="3">
                  <c:v>2.5486728575606903</c:v>
                </c:pt>
                <c:pt idx="4">
                  <c:v>10.248679585672091</c:v>
                </c:pt>
                <c:pt idx="5">
                  <c:v>2.9218091697645603</c:v>
                </c:pt>
                <c:pt idx="6">
                  <c:v>10.55</c:v>
                </c:pt>
              </c:numCache>
            </c:numRef>
          </c:val>
        </c:ser>
        <c:ser>
          <c:idx val="2"/>
          <c:order val="2"/>
          <c:tx>
            <c:v>Смешанный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Расчёты!$M$480:$M$486</c:f>
              <c:numCache>
                <c:formatCode>General</c:formatCode>
                <c:ptCount val="7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</c:numCache>
            </c:numRef>
          </c:cat>
          <c:val>
            <c:numRef>
              <c:f>Расчёты!$T$480:$T$486</c:f>
              <c:numCache>
                <c:formatCode>0.00</c:formatCode>
                <c:ptCount val="7"/>
                <c:pt idx="0">
                  <c:v>3.3758571112585707</c:v>
                </c:pt>
                <c:pt idx="1">
                  <c:v>1.4524819972202228</c:v>
                </c:pt>
                <c:pt idx="2">
                  <c:v>1.5699383818843284</c:v>
                </c:pt>
                <c:pt idx="3">
                  <c:v>2.139906313695636</c:v>
                </c:pt>
                <c:pt idx="4">
                  <c:v>1.5471225935180712</c:v>
                </c:pt>
                <c:pt idx="5">
                  <c:v>2.6230948937590384</c:v>
                </c:pt>
                <c:pt idx="6">
                  <c:v>1.2430044182621502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311072248"/>
        <c:axId val="311069896"/>
      </c:barChart>
      <c:catAx>
        <c:axId val="3110722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Год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11069896"/>
        <c:crosses val="autoZero"/>
        <c:auto val="1"/>
        <c:lblAlgn val="ctr"/>
        <c:lblOffset val="100"/>
        <c:noMultiLvlLbl val="0"/>
      </c:catAx>
      <c:valAx>
        <c:axId val="311069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Среднее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110722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Медианные значения по годам(метод дробного счёта)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Женщины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Расчёты!$M$480:$M$486</c:f>
              <c:numCache>
                <c:formatCode>General</c:formatCode>
                <c:ptCount val="7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</c:numCache>
            </c:numRef>
          </c:cat>
          <c:val>
            <c:numRef>
              <c:f>Расчёты!$U$480:$U$486</c:f>
              <c:numCache>
                <c:formatCode>0.00</c:formatCode>
                <c:ptCount val="7"/>
                <c:pt idx="0">
                  <c:v>0.2</c:v>
                </c:pt>
                <c:pt idx="1">
                  <c:v>3.5714285714285712E-2</c:v>
                </c:pt>
                <c:pt idx="2">
                  <c:v>0.13392857142857142</c:v>
                </c:pt>
                <c:pt idx="3">
                  <c:v>0.25</c:v>
                </c:pt>
                <c:pt idx="4">
                  <c:v>0.10101010101010101</c:v>
                </c:pt>
                <c:pt idx="5">
                  <c:v>0.1111111111111111</c:v>
                </c:pt>
                <c:pt idx="6">
                  <c:v>0.25</c:v>
                </c:pt>
              </c:numCache>
            </c:numRef>
          </c:val>
        </c:ser>
        <c:ser>
          <c:idx val="1"/>
          <c:order val="1"/>
          <c:tx>
            <c:v>Мужчины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Расчёты!$M$480:$M$486</c:f>
              <c:numCache>
                <c:formatCode>General</c:formatCode>
                <c:ptCount val="7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</c:numCache>
            </c:numRef>
          </c:cat>
          <c:val>
            <c:numRef>
              <c:f>Расчёты!$V$480:$V$486</c:f>
              <c:numCache>
                <c:formatCode>0.00</c:formatCode>
                <c:ptCount val="7"/>
                <c:pt idx="0">
                  <c:v>0</c:v>
                </c:pt>
                <c:pt idx="1">
                  <c:v>6.5151515151515155E-2</c:v>
                </c:pt>
                <c:pt idx="2">
                  <c:v>9.4444444444444442E-2</c:v>
                </c:pt>
                <c:pt idx="3">
                  <c:v>0.2</c:v>
                </c:pt>
                <c:pt idx="4">
                  <c:v>6.9069069069069067E-2</c:v>
                </c:pt>
                <c:pt idx="5">
                  <c:v>0.19642857142857142</c:v>
                </c:pt>
                <c:pt idx="6">
                  <c:v>0.16666666666666666</c:v>
                </c:pt>
              </c:numCache>
            </c:numRef>
          </c:val>
        </c:ser>
        <c:ser>
          <c:idx val="2"/>
          <c:order val="2"/>
          <c:tx>
            <c:v>Смешанный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Расчёты!$M$480:$M$486</c:f>
              <c:numCache>
                <c:formatCode>General</c:formatCode>
                <c:ptCount val="7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</c:numCache>
            </c:numRef>
          </c:cat>
          <c:val>
            <c:numRef>
              <c:f>Расчёты!$W$480:$W$486</c:f>
              <c:numCache>
                <c:formatCode>0.00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311071856"/>
        <c:axId val="311074208"/>
      </c:barChart>
      <c:catAx>
        <c:axId val="31107185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Год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11074208"/>
        <c:crosses val="autoZero"/>
        <c:auto val="1"/>
        <c:lblAlgn val="ctr"/>
        <c:lblOffset val="100"/>
        <c:noMultiLvlLbl val="0"/>
      </c:catAx>
      <c:valAx>
        <c:axId val="311074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Медиана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110718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190500</xdr:colOff>
      <xdr:row>375</xdr:row>
      <xdr:rowOff>167640</xdr:rowOff>
    </xdr:from>
    <xdr:to>
      <xdr:col>24</xdr:col>
      <xdr:colOff>190500</xdr:colOff>
      <xdr:row>392</xdr:row>
      <xdr:rowOff>121920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25</xdr:col>
      <xdr:colOff>38100</xdr:colOff>
      <xdr:row>376</xdr:row>
      <xdr:rowOff>7620</xdr:rowOff>
    </xdr:from>
    <xdr:to>
      <xdr:col>33</xdr:col>
      <xdr:colOff>449580</xdr:colOff>
      <xdr:row>392</xdr:row>
      <xdr:rowOff>91440</xdr:rowOff>
    </xdr:to>
    <xdr:graphicFrame macro="">
      <xdr:nvGraphicFramePr>
        <xdr:cNvPr id="3" name="Диаграмма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36</xdr:col>
      <xdr:colOff>434340</xdr:colOff>
      <xdr:row>375</xdr:row>
      <xdr:rowOff>129540</xdr:rowOff>
    </xdr:from>
    <xdr:to>
      <xdr:col>46</xdr:col>
      <xdr:colOff>579120</xdr:colOff>
      <xdr:row>394</xdr:row>
      <xdr:rowOff>129540</xdr:rowOff>
    </xdr:to>
    <xdr:graphicFrame macro="">
      <xdr:nvGraphicFramePr>
        <xdr:cNvPr id="4" name="Диаграмма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27</xdr:col>
      <xdr:colOff>426720</xdr:colOff>
      <xdr:row>408</xdr:row>
      <xdr:rowOff>106680</xdr:rowOff>
    </xdr:from>
    <xdr:to>
      <xdr:col>42</xdr:col>
      <xdr:colOff>167640</xdr:colOff>
      <xdr:row>434</xdr:row>
      <xdr:rowOff>15240</xdr:rowOff>
    </xdr:to>
    <xdr:graphicFrame macro="">
      <xdr:nvGraphicFramePr>
        <xdr:cNvPr id="5" name="Диаграмма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34</xdr:col>
      <xdr:colOff>53340</xdr:colOff>
      <xdr:row>435</xdr:row>
      <xdr:rowOff>60960</xdr:rowOff>
    </xdr:from>
    <xdr:to>
      <xdr:col>42</xdr:col>
      <xdr:colOff>91440</xdr:colOff>
      <xdr:row>451</xdr:row>
      <xdr:rowOff>175260</xdr:rowOff>
    </xdr:to>
    <xdr:graphicFrame macro="">
      <xdr:nvGraphicFramePr>
        <xdr:cNvPr id="7" name="Диаграмма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304799</xdr:colOff>
      <xdr:row>409</xdr:row>
      <xdr:rowOff>80683</xdr:rowOff>
    </xdr:from>
    <xdr:to>
      <xdr:col>16</xdr:col>
      <xdr:colOff>609599</xdr:colOff>
      <xdr:row>424</xdr:row>
      <xdr:rowOff>134471</xdr:rowOff>
    </xdr:to>
    <xdr:graphicFrame macro="">
      <xdr:nvGraphicFramePr>
        <xdr:cNvPr id="6" name="Диаграмма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10</xdr:col>
      <xdr:colOff>107574</xdr:colOff>
      <xdr:row>437</xdr:row>
      <xdr:rowOff>26895</xdr:rowOff>
    </xdr:from>
    <xdr:to>
      <xdr:col>17</xdr:col>
      <xdr:colOff>520374</xdr:colOff>
      <xdr:row>452</xdr:row>
      <xdr:rowOff>109483</xdr:rowOff>
    </xdr:to>
    <xdr:graphicFrame macro="">
      <xdr:nvGraphicFramePr>
        <xdr:cNvPr id="9" name="Диаграмма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18</xdr:col>
      <xdr:colOff>439271</xdr:colOff>
      <xdr:row>436</xdr:row>
      <xdr:rowOff>116542</xdr:rowOff>
    </xdr:from>
    <xdr:to>
      <xdr:col>26</xdr:col>
      <xdr:colOff>134471</xdr:colOff>
      <xdr:row>451</xdr:row>
      <xdr:rowOff>170330</xdr:rowOff>
    </xdr:to>
    <xdr:graphicFrame macro="">
      <xdr:nvGraphicFramePr>
        <xdr:cNvPr id="10" name="Диаграмма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13</xdr:col>
      <xdr:colOff>475129</xdr:colOff>
      <xdr:row>453</xdr:row>
      <xdr:rowOff>0</xdr:rowOff>
    </xdr:from>
    <xdr:to>
      <xdr:col>21</xdr:col>
      <xdr:colOff>170329</xdr:colOff>
      <xdr:row>468</xdr:row>
      <xdr:rowOff>53788</xdr:rowOff>
    </xdr:to>
    <xdr:graphicFrame macro="">
      <xdr:nvGraphicFramePr>
        <xdr:cNvPr id="11" name="Диаграмма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8</xdr:col>
      <xdr:colOff>502024</xdr:colOff>
      <xdr:row>491</xdr:row>
      <xdr:rowOff>26892</xdr:rowOff>
    </xdr:from>
    <xdr:to>
      <xdr:col>21</xdr:col>
      <xdr:colOff>8965</xdr:colOff>
      <xdr:row>509</xdr:row>
      <xdr:rowOff>161365</xdr:rowOff>
    </xdr:to>
    <xdr:graphicFrame macro="">
      <xdr:nvGraphicFramePr>
        <xdr:cNvPr id="8" name="Диаграмма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9</xdr:col>
      <xdr:colOff>224118</xdr:colOff>
      <xdr:row>510</xdr:row>
      <xdr:rowOff>134471</xdr:rowOff>
    </xdr:from>
    <xdr:to>
      <xdr:col>20</xdr:col>
      <xdr:colOff>600635</xdr:colOff>
      <xdr:row>529</xdr:row>
      <xdr:rowOff>161364</xdr:rowOff>
    </xdr:to>
    <xdr:graphicFrame macro="">
      <xdr:nvGraphicFramePr>
        <xdr:cNvPr id="12" name="Диаграмма 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hyperlink" Target="https://doi.org/10.17323/2500-2597.2020.4.61.78" TargetMode="External"/><Relationship Id="rId117" Type="http://schemas.openxmlformats.org/officeDocument/2006/relationships/hyperlink" Target="https://doi.org/10.17323/2500-2597.2021.4.22.31" TargetMode="External"/><Relationship Id="rId21" Type="http://schemas.openxmlformats.org/officeDocument/2006/relationships/hyperlink" Target="https://doi.org/10.17323/1995-459x.2016.1.69.82" TargetMode="External"/><Relationship Id="rId42" Type="http://schemas.openxmlformats.org/officeDocument/2006/relationships/hyperlink" Target="https://doi.org/10.17323/2500-2597.2020.4.34.45" TargetMode="External"/><Relationship Id="rId47" Type="http://schemas.openxmlformats.org/officeDocument/2006/relationships/hyperlink" Target="https://doi.org/10.17323/1995-459x.2015.1.56.67" TargetMode="External"/><Relationship Id="rId63" Type="http://schemas.openxmlformats.org/officeDocument/2006/relationships/hyperlink" Target="https://doi.org/10.17323/2500-2597.2017.3.83.93" TargetMode="External"/><Relationship Id="rId68" Type="http://schemas.openxmlformats.org/officeDocument/2006/relationships/hyperlink" Target="https://doi.org/10.17323/1995-459x.2015.2.6.21" TargetMode="External"/><Relationship Id="rId84" Type="http://schemas.openxmlformats.org/officeDocument/2006/relationships/hyperlink" Target="https://doi.org/10.17323/2500-2597.2018.3.20.28" TargetMode="External"/><Relationship Id="rId89" Type="http://schemas.openxmlformats.org/officeDocument/2006/relationships/hyperlink" Target="https://doi.org/10.17323/2500-2597.2020.1.29.47" TargetMode="External"/><Relationship Id="rId112" Type="http://schemas.openxmlformats.org/officeDocument/2006/relationships/hyperlink" Target="https://doi.org/10.17323/2500-2597.2021.1.56.65" TargetMode="External"/><Relationship Id="rId133" Type="http://schemas.openxmlformats.org/officeDocument/2006/relationships/hyperlink" Target="https://doi.org/10.17323/2500-2597.2020.3.30.39" TargetMode="External"/><Relationship Id="rId138" Type="http://schemas.openxmlformats.org/officeDocument/2006/relationships/hyperlink" Target="https://doi.org/10.17323/2500-2597.2021.4.52.60" TargetMode="External"/><Relationship Id="rId154" Type="http://schemas.openxmlformats.org/officeDocument/2006/relationships/hyperlink" Target="https://doi.org/10.17323/2500-2597.2021.3.6.21" TargetMode="External"/><Relationship Id="rId159" Type="http://schemas.openxmlformats.org/officeDocument/2006/relationships/hyperlink" Target="https://doi.org/10.17323/1995-459x.2013.3.74.81" TargetMode="External"/><Relationship Id="rId170" Type="http://schemas.openxmlformats.org/officeDocument/2006/relationships/hyperlink" Target="https://doi.org/10.17323/2500-2597.2021.4.5.7" TargetMode="External"/><Relationship Id="rId16" Type="http://schemas.openxmlformats.org/officeDocument/2006/relationships/hyperlink" Target="https://doi.org/10.17323/2500-2597.2019.2.72.83" TargetMode="External"/><Relationship Id="rId107" Type="http://schemas.openxmlformats.org/officeDocument/2006/relationships/hyperlink" Target="https://doi.org/10.17323/2500-2597.2020.4.47.60" TargetMode="External"/><Relationship Id="rId11" Type="http://schemas.openxmlformats.org/officeDocument/2006/relationships/hyperlink" Target="https://doi.org/10.17323/2500-2597.2018.2.62.76" TargetMode="External"/><Relationship Id="rId32" Type="http://schemas.openxmlformats.org/officeDocument/2006/relationships/hyperlink" Target="https://doi.org/10.17323/1995-459x.2016.3.53.64" TargetMode="External"/><Relationship Id="rId37" Type="http://schemas.openxmlformats.org/officeDocument/2006/relationships/hyperlink" Target="https://doi.org/10.17323/1995-459x.2016.1.53.67" TargetMode="External"/><Relationship Id="rId53" Type="http://schemas.openxmlformats.org/officeDocument/2006/relationships/hyperlink" Target="https://doi.org/10.17323/2500-2597.2020.1.60.68" TargetMode="External"/><Relationship Id="rId58" Type="http://schemas.openxmlformats.org/officeDocument/2006/relationships/hyperlink" Target="https://doi.org/10.17323/1995-459x.2016.3.7.16" TargetMode="External"/><Relationship Id="rId74" Type="http://schemas.openxmlformats.org/officeDocument/2006/relationships/hyperlink" Target="https://doi.org/10.17323/2500-2597.2017.4.44.51" TargetMode="External"/><Relationship Id="rId79" Type="http://schemas.openxmlformats.org/officeDocument/2006/relationships/hyperlink" Target="https://doi.org/10.17323/2500-2597.2021.1.74.85" TargetMode="External"/><Relationship Id="rId102" Type="http://schemas.openxmlformats.org/officeDocument/2006/relationships/hyperlink" Target="https://doi.org/10.17323/2500-2597.2020.1.70.84" TargetMode="External"/><Relationship Id="rId123" Type="http://schemas.openxmlformats.org/officeDocument/2006/relationships/hyperlink" Target="https://doi.org/10.17323/2500-2597.2018.4.78.89" TargetMode="External"/><Relationship Id="rId128" Type="http://schemas.openxmlformats.org/officeDocument/2006/relationships/hyperlink" Target="https://doi.org/10.17323/2500-2597.2019.3.51.60" TargetMode="External"/><Relationship Id="rId144" Type="http://schemas.openxmlformats.org/officeDocument/2006/relationships/hyperlink" Target="https://doi.org/10.17323/2500-2597.2020.3.55.70" TargetMode="External"/><Relationship Id="rId149" Type="http://schemas.openxmlformats.org/officeDocument/2006/relationships/hyperlink" Target="https://doi.org/10.17323/2500-2597.2021.2.52.64" TargetMode="External"/><Relationship Id="rId5" Type="http://schemas.openxmlformats.org/officeDocument/2006/relationships/hyperlink" Target="https://doi.org/10.17323/2500-2597.2019.2.84.96" TargetMode="External"/><Relationship Id="rId90" Type="http://schemas.openxmlformats.org/officeDocument/2006/relationships/hyperlink" Target="https://doi.org/10.17323/2500-2597.2021.1.39.54" TargetMode="External"/><Relationship Id="rId95" Type="http://schemas.openxmlformats.org/officeDocument/2006/relationships/hyperlink" Target="https://doi.org/10.17323/2500-2597.2017.4.84.95" TargetMode="External"/><Relationship Id="rId160" Type="http://schemas.openxmlformats.org/officeDocument/2006/relationships/hyperlink" Target="https://doi.org/10.17323/2500-2597.2017.3.61.70" TargetMode="External"/><Relationship Id="rId165" Type="http://schemas.openxmlformats.org/officeDocument/2006/relationships/hyperlink" Target="https://doi.org/10.17323/2500-2597.2020.3.101.112" TargetMode="External"/><Relationship Id="rId22" Type="http://schemas.openxmlformats.org/officeDocument/2006/relationships/hyperlink" Target="https://doi.org/10.17323/1995-459x.2016.3.18.28" TargetMode="External"/><Relationship Id="rId27" Type="http://schemas.openxmlformats.org/officeDocument/2006/relationships/hyperlink" Target="https://doi.org/10.17323/1995-459x.2016.1.43.52" TargetMode="External"/><Relationship Id="rId43" Type="http://schemas.openxmlformats.org/officeDocument/2006/relationships/hyperlink" Target="https://doi.org/10.17323/2500-2597.2017.3.25.36" TargetMode="External"/><Relationship Id="rId48" Type="http://schemas.openxmlformats.org/officeDocument/2006/relationships/hyperlink" Target="https://doi.org/10.17323/1995-459x.2016.2.44.56" TargetMode="External"/><Relationship Id="rId64" Type="http://schemas.openxmlformats.org/officeDocument/2006/relationships/hyperlink" Target="https://doi.org/10.17323/2500-2597.2017.4.33.43" TargetMode="External"/><Relationship Id="rId69" Type="http://schemas.openxmlformats.org/officeDocument/2006/relationships/hyperlink" Target="https://doi.org/10.17323/1995-459x.2015.2.22.37" TargetMode="External"/><Relationship Id="rId113" Type="http://schemas.openxmlformats.org/officeDocument/2006/relationships/hyperlink" Target="https://doi.org/10.17323/2500-2597.2021.3.35.51" TargetMode="External"/><Relationship Id="rId118" Type="http://schemas.openxmlformats.org/officeDocument/2006/relationships/hyperlink" Target="https://doi.org/10.17323/1995-459x.2016.4.25.45." TargetMode="External"/><Relationship Id="rId134" Type="http://schemas.openxmlformats.org/officeDocument/2006/relationships/hyperlink" Target="https://doi.org/10.17323/2500-2597.2020.4.80.94" TargetMode="External"/><Relationship Id="rId139" Type="http://schemas.openxmlformats.org/officeDocument/2006/relationships/hyperlink" Target="https://doi.org/10.17323/2500-2597.2017.1.42.53." TargetMode="External"/><Relationship Id="rId80" Type="http://schemas.openxmlformats.org/officeDocument/2006/relationships/hyperlink" Target="https://doi.org/10.17323/2500-2597.2021.4.61.77" TargetMode="External"/><Relationship Id="rId85" Type="http://schemas.openxmlformats.org/officeDocument/2006/relationships/hyperlink" Target="https://doi.org/10.17323/2500-2597.2018.4.46.61" TargetMode="External"/><Relationship Id="rId150" Type="http://schemas.openxmlformats.org/officeDocument/2006/relationships/hyperlink" Target="https://doi.org/10.17323/2500-2597.2021.2.25.38" TargetMode="External"/><Relationship Id="rId155" Type="http://schemas.openxmlformats.org/officeDocument/2006/relationships/hyperlink" Target="https://doi.org/10.17323/2500-2597.2021.3.81.92" TargetMode="External"/><Relationship Id="rId171" Type="http://schemas.openxmlformats.org/officeDocument/2006/relationships/hyperlink" Target="https://doi.org/10.17323/1995-459x.2016.4.7.24." TargetMode="External"/><Relationship Id="rId12" Type="http://schemas.openxmlformats.org/officeDocument/2006/relationships/hyperlink" Target="https://doi.org/10.17323/1995-459x.2016.3.65.75" TargetMode="External"/><Relationship Id="rId17" Type="http://schemas.openxmlformats.org/officeDocument/2006/relationships/hyperlink" Target="https://doi.org/10.17323/1995-459x.2016.3.34.52" TargetMode="External"/><Relationship Id="rId33" Type="http://schemas.openxmlformats.org/officeDocument/2006/relationships/hyperlink" Target="https://doi.org/10.17323/2500-2597.2019.1.32.47" TargetMode="External"/><Relationship Id="rId38" Type="http://schemas.openxmlformats.org/officeDocument/2006/relationships/hyperlink" Target="https://doi.org/10.17323/2500-2597.2019.2.42.51" TargetMode="External"/><Relationship Id="rId59" Type="http://schemas.openxmlformats.org/officeDocument/2006/relationships/hyperlink" Target="https://doi.org/10.17323/2500-2597.2017.2.83.91" TargetMode="External"/><Relationship Id="rId103" Type="http://schemas.openxmlformats.org/officeDocument/2006/relationships/hyperlink" Target="https://doi.org/10.17323/2500-2597.2020.1.6.27" TargetMode="External"/><Relationship Id="rId108" Type="http://schemas.openxmlformats.org/officeDocument/2006/relationships/hyperlink" Target="https://doi.org/10.17323/2500-2597.2020.4.112.120" TargetMode="External"/><Relationship Id="rId124" Type="http://schemas.openxmlformats.org/officeDocument/2006/relationships/hyperlink" Target="https://doi.org/10.17323/2500-2597.2018.4.62.77" TargetMode="External"/><Relationship Id="rId129" Type="http://schemas.openxmlformats.org/officeDocument/2006/relationships/hyperlink" Target="https://doi.org/10.17323/2500-2597.2019.3.77.88" TargetMode="External"/><Relationship Id="rId54" Type="http://schemas.openxmlformats.org/officeDocument/2006/relationships/hyperlink" Target="https://doi.org/10.17323/2500-2597.2020.2.88.104" TargetMode="External"/><Relationship Id="rId70" Type="http://schemas.openxmlformats.org/officeDocument/2006/relationships/hyperlink" Target="https://doi.org/10.17323/1995-459x.2016.3.30.33" TargetMode="External"/><Relationship Id="rId75" Type="http://schemas.openxmlformats.org/officeDocument/2006/relationships/hyperlink" Target="https://doi.org/10.17323/2500-2597.2018.1.88.97" TargetMode="External"/><Relationship Id="rId91" Type="http://schemas.openxmlformats.org/officeDocument/2006/relationships/hyperlink" Target="https://doi.org/10.17323/2500-2597.2021.4.42.51" TargetMode="External"/><Relationship Id="rId96" Type="http://schemas.openxmlformats.org/officeDocument/2006/relationships/hyperlink" Target="https://doi.org/10.17323/2500-2597.2018.2.36.48" TargetMode="External"/><Relationship Id="rId140" Type="http://schemas.openxmlformats.org/officeDocument/2006/relationships/hyperlink" Target="https://doi.org/10.17323/2500-2597.2018.3.34.42" TargetMode="External"/><Relationship Id="rId145" Type="http://schemas.openxmlformats.org/officeDocument/2006/relationships/hyperlink" Target="https://doi.org/10.17323/2500-2597.2020.3.6.13" TargetMode="External"/><Relationship Id="rId161" Type="http://schemas.openxmlformats.org/officeDocument/2006/relationships/hyperlink" Target="https://doi.org/10.17323/2500-2597.2018.1.56.67" TargetMode="External"/><Relationship Id="rId166" Type="http://schemas.openxmlformats.org/officeDocument/2006/relationships/hyperlink" Target="https://doi.org/10.17323/2500-2597.2021.1.31.38" TargetMode="External"/><Relationship Id="rId1" Type="http://schemas.openxmlformats.org/officeDocument/2006/relationships/hyperlink" Target="https://doi.org/10.17323/1995-459x.2016.1.31.42" TargetMode="External"/><Relationship Id="rId6" Type="http://schemas.openxmlformats.org/officeDocument/2006/relationships/hyperlink" Target="https://doi.org/10.17323/1995-459x.2016.2.7.27" TargetMode="External"/><Relationship Id="rId15" Type="http://schemas.openxmlformats.org/officeDocument/2006/relationships/hyperlink" Target="https://doi.org/10.17323/2500-2597.2017.2.27.42" TargetMode="External"/><Relationship Id="rId23" Type="http://schemas.openxmlformats.org/officeDocument/2006/relationships/hyperlink" Target="https://doi.org/10.17323/2500-2597.2018.3.62.72" TargetMode="External"/><Relationship Id="rId28" Type="http://schemas.openxmlformats.org/officeDocument/2006/relationships/hyperlink" Target="https://doi.org/10.17323/1995-459x.2016.3.76.90" TargetMode="External"/><Relationship Id="rId36" Type="http://schemas.openxmlformats.org/officeDocument/2006/relationships/hyperlink" Target="https://doi.org/10.17323/1995-459x.2015.1.20.31" TargetMode="External"/><Relationship Id="rId49" Type="http://schemas.openxmlformats.org/officeDocument/2006/relationships/hyperlink" Target="https://doi.org/10.17323/1995-459x.2016.4.9.22" TargetMode="External"/><Relationship Id="rId57" Type="http://schemas.openxmlformats.org/officeDocument/2006/relationships/hyperlink" Target="https://doi.org/10.17323/2500-2597.2017.2.44.53" TargetMode="External"/><Relationship Id="rId106" Type="http://schemas.openxmlformats.org/officeDocument/2006/relationships/hyperlink" Target="https://doi.org/10.17323/2500-2597.2020.3.41.54" TargetMode="External"/><Relationship Id="rId114" Type="http://schemas.openxmlformats.org/officeDocument/2006/relationships/hyperlink" Target="https://doi.org/10.17323/2500-2597.2021.3.52.65" TargetMode="External"/><Relationship Id="rId119" Type="http://schemas.openxmlformats.org/officeDocument/2006/relationships/hyperlink" Target="https://doi.org/10.17323/1995-459x.2015.2.38.43" TargetMode="External"/><Relationship Id="rId127" Type="http://schemas.openxmlformats.org/officeDocument/2006/relationships/hyperlink" Target="https://doi.org/10.17323/2500-2597.2019.2.98.106" TargetMode="External"/><Relationship Id="rId10" Type="http://schemas.openxmlformats.org/officeDocument/2006/relationships/hyperlink" Target="https://doi.org/10.17323/2500-2597.2017.3.37.48" TargetMode="External"/><Relationship Id="rId31" Type="http://schemas.openxmlformats.org/officeDocument/2006/relationships/hyperlink" Target="https://doi.org/10.17323/1995-459x.2015.2.44.57" TargetMode="External"/><Relationship Id="rId44" Type="http://schemas.openxmlformats.org/officeDocument/2006/relationships/hyperlink" Target="https://doi.org/10.17323/2500-2597.2019.3.13.22" TargetMode="External"/><Relationship Id="rId52" Type="http://schemas.openxmlformats.org/officeDocument/2006/relationships/hyperlink" Target="https://doi.org/10.17323/2500-2597.2019.4.48.59" TargetMode="External"/><Relationship Id="rId60" Type="http://schemas.openxmlformats.org/officeDocument/2006/relationships/hyperlink" Target="https://doi.org/10.17323/2500-2597.2017.2.68.82" TargetMode="External"/><Relationship Id="rId65" Type="http://schemas.openxmlformats.org/officeDocument/2006/relationships/hyperlink" Target="https://doi.org/10.17323/2500-2597.2020.4.95.111" TargetMode="External"/><Relationship Id="rId73" Type="http://schemas.openxmlformats.org/officeDocument/2006/relationships/hyperlink" Target="https://doi.org/10.17323/2500-2597.2017.4.52.61" TargetMode="External"/><Relationship Id="rId78" Type="http://schemas.openxmlformats.org/officeDocument/2006/relationships/hyperlink" Target="https://doi.org/10.17323/2500-2597.2020.2.64.75" TargetMode="External"/><Relationship Id="rId81" Type="http://schemas.openxmlformats.org/officeDocument/2006/relationships/hyperlink" Target="https://doi.org/10.17323/2500-2597.2018.1.80.87" TargetMode="External"/><Relationship Id="rId86" Type="http://schemas.openxmlformats.org/officeDocument/2006/relationships/hyperlink" Target="https://doi.org/10.17323/2500-2597.2018.4.5.8" TargetMode="External"/><Relationship Id="rId94" Type="http://schemas.openxmlformats.org/officeDocument/2006/relationships/hyperlink" Target="https://doi.org/10.17323/2500-2597.2017.3.71.81" TargetMode="External"/><Relationship Id="rId99" Type="http://schemas.openxmlformats.org/officeDocument/2006/relationships/hyperlink" Target="https://doi.org/10.17323/2500-2597.2019.1.62.68" TargetMode="External"/><Relationship Id="rId101" Type="http://schemas.openxmlformats.org/officeDocument/2006/relationships/hyperlink" Target="https://doi.org/10.17323/2500-2597.2019.4.69.81" TargetMode="External"/><Relationship Id="rId122" Type="http://schemas.openxmlformats.org/officeDocument/2006/relationships/hyperlink" Target="https://doi.org/10.17323/2500-2597.2018.1.47.55" TargetMode="External"/><Relationship Id="rId130" Type="http://schemas.openxmlformats.org/officeDocument/2006/relationships/hyperlink" Target="https://doi.org/10.17323/2500-2597.2019.3.41.49" TargetMode="External"/><Relationship Id="rId135" Type="http://schemas.openxmlformats.org/officeDocument/2006/relationships/hyperlink" Target="https://doi.org/10.17323/2500-2597.2017.1.55.65." TargetMode="External"/><Relationship Id="rId143" Type="http://schemas.openxmlformats.org/officeDocument/2006/relationships/hyperlink" Target="https://doi.org/10.17323/2500-2597.2020.3.15.29" TargetMode="External"/><Relationship Id="rId148" Type="http://schemas.openxmlformats.org/officeDocument/2006/relationships/hyperlink" Target="https://doi.org/10.17323/2500-2597.2021.1.86.96" TargetMode="External"/><Relationship Id="rId151" Type="http://schemas.openxmlformats.org/officeDocument/2006/relationships/hyperlink" Target="https://doi.org/10.17323/2500-2597.2021.2.39.51" TargetMode="External"/><Relationship Id="rId156" Type="http://schemas.openxmlformats.org/officeDocument/2006/relationships/hyperlink" Target="https://doi.org/10.17323/1995-459x.2015.2.58.71" TargetMode="External"/><Relationship Id="rId164" Type="http://schemas.openxmlformats.org/officeDocument/2006/relationships/hyperlink" Target="https://doi.org/10.17323/2500-2597.2020.3.72.87" TargetMode="External"/><Relationship Id="rId169" Type="http://schemas.openxmlformats.org/officeDocument/2006/relationships/hyperlink" Target="https://doi.org/10.17323/2500-2597.2021.4.33.41" TargetMode="External"/><Relationship Id="rId4" Type="http://schemas.openxmlformats.org/officeDocument/2006/relationships/hyperlink" Target="https://doi.org/10.17323/2500-2597.2019.2.19.41" TargetMode="External"/><Relationship Id="rId9" Type="http://schemas.openxmlformats.org/officeDocument/2006/relationships/hyperlink" Target="https://doi.org/10.17323/1995-459x.2015.1.68.81" TargetMode="External"/><Relationship Id="rId172" Type="http://schemas.openxmlformats.org/officeDocument/2006/relationships/hyperlink" Target="https://doi.org/10.17323/1995-459x.2016.4.46.58." TargetMode="External"/><Relationship Id="rId13" Type="http://schemas.openxmlformats.org/officeDocument/2006/relationships/hyperlink" Target="https://doi.org/10.17323/2500-2597.2020.2.7.22" TargetMode="External"/><Relationship Id="rId18" Type="http://schemas.openxmlformats.org/officeDocument/2006/relationships/hyperlink" Target="https://doi.org/10.17323/2500-2597.2017.3.103.111" TargetMode="External"/><Relationship Id="rId39" Type="http://schemas.openxmlformats.org/officeDocument/2006/relationships/hyperlink" Target="https://doi.org/10.17323/2500-2597.2019.2.62.71" TargetMode="External"/><Relationship Id="rId109" Type="http://schemas.openxmlformats.org/officeDocument/2006/relationships/hyperlink" Target="https://doi.org/10.17323/2500-2597.2017.1.9.22." TargetMode="External"/><Relationship Id="rId34" Type="http://schemas.openxmlformats.org/officeDocument/2006/relationships/hyperlink" Target="https://doi.org/10.17323/1995-459x.2016.1.7.15" TargetMode="External"/><Relationship Id="rId50" Type="http://schemas.openxmlformats.org/officeDocument/2006/relationships/hyperlink" Target="https://doi.org/10.17323/2500-2597.2019.2.107.119" TargetMode="External"/><Relationship Id="rId55" Type="http://schemas.openxmlformats.org/officeDocument/2006/relationships/hyperlink" Target="https://doi.org/10.17323/2500-2597.2020.4.10.19" TargetMode="External"/><Relationship Id="rId76" Type="http://schemas.openxmlformats.org/officeDocument/2006/relationships/hyperlink" Target="https://doi.org/10.17323/2500-2597.2018.2.78.90" TargetMode="External"/><Relationship Id="rId97" Type="http://schemas.openxmlformats.org/officeDocument/2006/relationships/hyperlink" Target="https://doi.org/10.17323/2500-2597.2018.2.24.35" TargetMode="External"/><Relationship Id="rId104" Type="http://schemas.openxmlformats.org/officeDocument/2006/relationships/hyperlink" Target="https://doi.org/10.17323/2500-2597.2020.2.36.50" TargetMode="External"/><Relationship Id="rId120" Type="http://schemas.openxmlformats.org/officeDocument/2006/relationships/hyperlink" Target="https://doi.org/10.17323/1995-459x.2016.2.81.91" TargetMode="External"/><Relationship Id="rId125" Type="http://schemas.openxmlformats.org/officeDocument/2006/relationships/hyperlink" Target="https://doi.org/10.17323/2500-2597.2019.1.48.61" TargetMode="External"/><Relationship Id="rId141" Type="http://schemas.openxmlformats.org/officeDocument/2006/relationships/hyperlink" Target="https://doi.org/10.17323/2500-2597.2019.4.35.46" TargetMode="External"/><Relationship Id="rId146" Type="http://schemas.openxmlformats.org/officeDocument/2006/relationships/hyperlink" Target="https://doi.org/10.17323/2500-2597.2020.4.6.8" TargetMode="External"/><Relationship Id="rId167" Type="http://schemas.openxmlformats.org/officeDocument/2006/relationships/hyperlink" Target="https://doi.org/10.17323/2500-2597.2017.1.24.30." TargetMode="External"/><Relationship Id="rId7" Type="http://schemas.openxmlformats.org/officeDocument/2006/relationships/hyperlink" Target="https://doi.org/10.17323/1995-459x.2015.1.32.55" TargetMode="External"/><Relationship Id="rId71" Type="http://schemas.openxmlformats.org/officeDocument/2006/relationships/hyperlink" Target="https://doi.org/10.17323/2500-2597.2017.2.92.97" TargetMode="External"/><Relationship Id="rId92" Type="http://schemas.openxmlformats.org/officeDocument/2006/relationships/hyperlink" Target="https://doi.org/10.17323/1995-459x.2016.1.16.29" TargetMode="External"/><Relationship Id="rId162" Type="http://schemas.openxmlformats.org/officeDocument/2006/relationships/hyperlink" Target="https://doi.org/10.17323/2500-2597.2018.3.13.19" TargetMode="External"/><Relationship Id="rId2" Type="http://schemas.openxmlformats.org/officeDocument/2006/relationships/hyperlink" Target="https://doi.org/10.17323/2500-2597.2017.4.6.8" TargetMode="External"/><Relationship Id="rId29" Type="http://schemas.openxmlformats.org/officeDocument/2006/relationships/hyperlink" Target="https://doi.org/10.17323/2500-2597.2017.4.23.32" TargetMode="External"/><Relationship Id="rId24" Type="http://schemas.openxmlformats.org/officeDocument/2006/relationships/hyperlink" Target="https://doi.org/10.17323/2500-2597.2018.4.20.33" TargetMode="External"/><Relationship Id="rId40" Type="http://schemas.openxmlformats.org/officeDocument/2006/relationships/hyperlink" Target="https://doi.org/10.17323/2500-2597.2019.3.24.40" TargetMode="External"/><Relationship Id="rId45" Type="http://schemas.openxmlformats.org/officeDocument/2006/relationships/hyperlink" Target="https://doi.org/10.17323/2500-2597.2019.4.10.22" TargetMode="External"/><Relationship Id="rId66" Type="http://schemas.openxmlformats.org/officeDocument/2006/relationships/hyperlink" Target="https://doi.org/10.17323/2500-2597.2021.1.19.29" TargetMode="External"/><Relationship Id="rId87" Type="http://schemas.openxmlformats.org/officeDocument/2006/relationships/hyperlink" Target="https://doi.org/10.17323/2500-2597.2019.1.70.76" TargetMode="External"/><Relationship Id="rId110" Type="http://schemas.openxmlformats.org/officeDocument/2006/relationships/hyperlink" Target="https://doi.org/10.17323/2500-2597.2021.1.6.18" TargetMode="External"/><Relationship Id="rId115" Type="http://schemas.openxmlformats.org/officeDocument/2006/relationships/hyperlink" Target="https://doi.org/10.17323/2500-2597.2021.3.66.80" TargetMode="External"/><Relationship Id="rId131" Type="http://schemas.openxmlformats.org/officeDocument/2006/relationships/hyperlink" Target="https://doi.org/10.17323/2500-2597.2019.4.6.8" TargetMode="External"/><Relationship Id="rId136" Type="http://schemas.openxmlformats.org/officeDocument/2006/relationships/hyperlink" Target="https://doi.org/10.17323/2500-2597.2021.2.12.24" TargetMode="External"/><Relationship Id="rId157" Type="http://schemas.openxmlformats.org/officeDocument/2006/relationships/hyperlink" Target="https://doi.org/10.17323/1995-459x.2016.4.72.79." TargetMode="External"/><Relationship Id="rId61" Type="http://schemas.openxmlformats.org/officeDocument/2006/relationships/hyperlink" Target="https://doi.org/10.17323/2500-2597.2017.1.54.66" TargetMode="External"/><Relationship Id="rId82" Type="http://schemas.openxmlformats.org/officeDocument/2006/relationships/hyperlink" Target="https://doi.org/10.17323/2500-2597.2018.1.69.78" TargetMode="External"/><Relationship Id="rId152" Type="http://schemas.openxmlformats.org/officeDocument/2006/relationships/hyperlink" Target="https://doi.org/10.17323/2500-2597.2021.3.94.104" TargetMode="External"/><Relationship Id="rId173" Type="http://schemas.openxmlformats.org/officeDocument/2006/relationships/hyperlink" Target="https://doi.org/10.17323/2500-2597.2019.1.6.18." TargetMode="External"/><Relationship Id="rId19" Type="http://schemas.openxmlformats.org/officeDocument/2006/relationships/hyperlink" Target="https://doi.org/10.17323/1995-459x.2016.2.29.42" TargetMode="External"/><Relationship Id="rId14" Type="http://schemas.openxmlformats.org/officeDocument/2006/relationships/hyperlink" Target="https://doi.org/10.17323/2500-2597.2019.1.77.89" TargetMode="External"/><Relationship Id="rId30" Type="http://schemas.openxmlformats.org/officeDocument/2006/relationships/hyperlink" Target="https://doi.org/10.17323/2500-2597.2017.4.63.73" TargetMode="External"/><Relationship Id="rId35" Type="http://schemas.openxmlformats.org/officeDocument/2006/relationships/hyperlink" Target="https://doi.org/10.17323/1995-459x.2016.2.58.80" TargetMode="External"/><Relationship Id="rId56" Type="http://schemas.openxmlformats.org/officeDocument/2006/relationships/hyperlink" Target="https://doi.org/10.17323/2500-2597.2020.4.20.33" TargetMode="External"/><Relationship Id="rId77" Type="http://schemas.openxmlformats.org/officeDocument/2006/relationships/hyperlink" Target="https://doi.org/10.17323/2500-2597.2018.3.6.12" TargetMode="External"/><Relationship Id="rId100" Type="http://schemas.openxmlformats.org/officeDocument/2006/relationships/hyperlink" Target="https://doi.org/10.17323/2500-2597.2019.4.60.68" TargetMode="External"/><Relationship Id="rId105" Type="http://schemas.openxmlformats.org/officeDocument/2006/relationships/hyperlink" Target="https://doi.org/10.17323/2500-2597.2020.3.88.99" TargetMode="External"/><Relationship Id="rId126" Type="http://schemas.openxmlformats.org/officeDocument/2006/relationships/hyperlink" Target="https://doi.org/10.17323/2500-2597.2018.4.35.44" TargetMode="External"/><Relationship Id="rId147" Type="http://schemas.openxmlformats.org/officeDocument/2006/relationships/hyperlink" Target="https://doi.org/10.17323/2500-2597.2021.2.65.81" TargetMode="External"/><Relationship Id="rId168" Type="http://schemas.openxmlformats.org/officeDocument/2006/relationships/hyperlink" Target="https://doi.org/10.17323/2500-2597.2021.3.23.34" TargetMode="External"/><Relationship Id="rId8" Type="http://schemas.openxmlformats.org/officeDocument/2006/relationships/hyperlink" Target="https://doi.org/10.17323/2500-2597.2018.2.50.61" TargetMode="External"/><Relationship Id="rId51" Type="http://schemas.openxmlformats.org/officeDocument/2006/relationships/hyperlink" Target="https://doi.org/10.17323/2500-2597.2019.3.62.76" TargetMode="External"/><Relationship Id="rId72" Type="http://schemas.openxmlformats.org/officeDocument/2006/relationships/hyperlink" Target="https://doi.org/10.17323/2500-2597.2017.3.11.24" TargetMode="External"/><Relationship Id="rId93" Type="http://schemas.openxmlformats.org/officeDocument/2006/relationships/hyperlink" Target="https://doi.org/10.17323/2500-2597.2017.3.6.9" TargetMode="External"/><Relationship Id="rId98" Type="http://schemas.openxmlformats.org/officeDocument/2006/relationships/hyperlink" Target="https://doi.org/10.17323/2500-2597.2018.4.10.19" TargetMode="External"/><Relationship Id="rId121" Type="http://schemas.openxmlformats.org/officeDocument/2006/relationships/hyperlink" Target="https://doi.org/10.17323/2500-2597.2017.1.66.74." TargetMode="External"/><Relationship Id="rId142" Type="http://schemas.openxmlformats.org/officeDocument/2006/relationships/hyperlink" Target="https://doi.org/10.17323/2500-2597.2019.4.23.34" TargetMode="External"/><Relationship Id="rId163" Type="http://schemas.openxmlformats.org/officeDocument/2006/relationships/hyperlink" Target="https://doi.org/10.17323/2500-2597.2020.2.76.86" TargetMode="External"/><Relationship Id="rId3" Type="http://schemas.openxmlformats.org/officeDocument/2006/relationships/hyperlink" Target="https://doi.org/10.17323/2500-2597.2017.2.10.26" TargetMode="External"/><Relationship Id="rId25" Type="http://schemas.openxmlformats.org/officeDocument/2006/relationships/hyperlink" Target="https://doi.org/10.17323/2500-2597.2019.2.52.60" TargetMode="External"/><Relationship Id="rId46" Type="http://schemas.openxmlformats.org/officeDocument/2006/relationships/hyperlink" Target="https://doi.org/10.17323/2500-2597.2019.3.6.12" TargetMode="External"/><Relationship Id="rId67" Type="http://schemas.openxmlformats.org/officeDocument/2006/relationships/hyperlink" Target="https://doi.org/10.17323/2500-2597.2021.2.5.11" TargetMode="External"/><Relationship Id="rId116" Type="http://schemas.openxmlformats.org/officeDocument/2006/relationships/hyperlink" Target="https://doi.org/10.17323/1995-459x.2015.1.6.19" TargetMode="External"/><Relationship Id="rId137" Type="http://schemas.openxmlformats.org/officeDocument/2006/relationships/hyperlink" Target="https://doi.org/10.17323/2500-2597.2021.3.105.121" TargetMode="External"/><Relationship Id="rId158" Type="http://schemas.openxmlformats.org/officeDocument/2006/relationships/hyperlink" Target="https://doi.org/10.17323/1995-459x.2016.4.60.70." TargetMode="External"/><Relationship Id="rId20" Type="http://schemas.openxmlformats.org/officeDocument/2006/relationships/hyperlink" Target="https://doi.org/10.17323/2500-2597.2018.2.6.22" TargetMode="External"/><Relationship Id="rId41" Type="http://schemas.openxmlformats.org/officeDocument/2006/relationships/hyperlink" Target="https://doi.org/10.17323/2500-2597.2020.1.48.59" TargetMode="External"/><Relationship Id="rId62" Type="http://schemas.openxmlformats.org/officeDocument/2006/relationships/hyperlink" Target="https://doi.org/10.17323/2500-2597.2017.3.50.60" TargetMode="External"/><Relationship Id="rId83" Type="http://schemas.openxmlformats.org/officeDocument/2006/relationships/hyperlink" Target="https://doi.org/10.17323/2500-2597.2018.3.30.33" TargetMode="External"/><Relationship Id="rId88" Type="http://schemas.openxmlformats.org/officeDocument/2006/relationships/hyperlink" Target="https://doi.org/10.17323/2500-2597.2017.4.74.83" TargetMode="External"/><Relationship Id="rId111" Type="http://schemas.openxmlformats.org/officeDocument/2006/relationships/hyperlink" Target="https://doi.org/10.17323/2500-2597.2021.1.97.105" TargetMode="External"/><Relationship Id="rId132" Type="http://schemas.openxmlformats.org/officeDocument/2006/relationships/hyperlink" Target="https://doi.org/10.17323/2500-2597.2020.2.51.62" TargetMode="External"/><Relationship Id="rId153" Type="http://schemas.openxmlformats.org/officeDocument/2006/relationships/hyperlink" Target="https://doi.org/10.17323/2500-2597.2021.4.9.21" TargetMode="External"/><Relationship Id="rId174" Type="http://schemas.openxmlformats.org/officeDocument/2006/relationships/hyperlink" Target="https://doi.org/10.17323/2500-2597.2017.1.42.53." TargetMode="External"/></Relationships>
</file>

<file path=xl/worksheets/_rels/sheet2.xml.rels><?xml version="1.0" encoding="UTF-8" standalone="yes"?>
<Relationships xmlns="http://schemas.openxmlformats.org/package/2006/relationships"><Relationship Id="rId26" Type="http://schemas.openxmlformats.org/officeDocument/2006/relationships/hyperlink" Target="https://doi.org/10.17323/2500-2597.2020.4.61.78" TargetMode="External"/><Relationship Id="rId117" Type="http://schemas.openxmlformats.org/officeDocument/2006/relationships/hyperlink" Target="https://doi.org/10.17323/2500-2597.2021.4.22.31" TargetMode="External"/><Relationship Id="rId21" Type="http://schemas.openxmlformats.org/officeDocument/2006/relationships/hyperlink" Target="https://doi.org/10.17323/1995-459x.2016.1.69.82" TargetMode="External"/><Relationship Id="rId42" Type="http://schemas.openxmlformats.org/officeDocument/2006/relationships/hyperlink" Target="https://doi.org/10.17323/2500-2597.2020.4.34.45" TargetMode="External"/><Relationship Id="rId47" Type="http://schemas.openxmlformats.org/officeDocument/2006/relationships/hyperlink" Target="https://doi.org/10.17323/1995-459x.2015.1.56.67" TargetMode="External"/><Relationship Id="rId63" Type="http://schemas.openxmlformats.org/officeDocument/2006/relationships/hyperlink" Target="https://doi.org/10.17323/2500-2597.2017.3.83.93" TargetMode="External"/><Relationship Id="rId68" Type="http://schemas.openxmlformats.org/officeDocument/2006/relationships/hyperlink" Target="https://doi.org/10.17323/1995-459x.2015.2.6.21" TargetMode="External"/><Relationship Id="rId84" Type="http://schemas.openxmlformats.org/officeDocument/2006/relationships/hyperlink" Target="https://doi.org/10.17323/2500-2597.2018.3.20.28" TargetMode="External"/><Relationship Id="rId89" Type="http://schemas.openxmlformats.org/officeDocument/2006/relationships/hyperlink" Target="https://doi.org/10.17323/2500-2597.2020.1.29.47" TargetMode="External"/><Relationship Id="rId112" Type="http://schemas.openxmlformats.org/officeDocument/2006/relationships/hyperlink" Target="https://doi.org/10.17323/2500-2597.2021.1.56.65" TargetMode="External"/><Relationship Id="rId133" Type="http://schemas.openxmlformats.org/officeDocument/2006/relationships/hyperlink" Target="https://doi.org/10.17323/2500-2597.2020.3.30.39" TargetMode="External"/><Relationship Id="rId138" Type="http://schemas.openxmlformats.org/officeDocument/2006/relationships/hyperlink" Target="https://doi.org/10.17323/2500-2597.2021.4.52.60" TargetMode="External"/><Relationship Id="rId154" Type="http://schemas.openxmlformats.org/officeDocument/2006/relationships/hyperlink" Target="https://doi.org/10.17323/2500-2597.2021.3.6.21" TargetMode="External"/><Relationship Id="rId159" Type="http://schemas.openxmlformats.org/officeDocument/2006/relationships/hyperlink" Target="https://doi.org/10.17323/1995-459x.2013.3.74.81" TargetMode="External"/><Relationship Id="rId175" Type="http://schemas.openxmlformats.org/officeDocument/2006/relationships/printerSettings" Target="../printerSettings/printerSettings1.bin"/><Relationship Id="rId170" Type="http://schemas.openxmlformats.org/officeDocument/2006/relationships/hyperlink" Target="https://doi.org/10.17323/2500-2597.2021.4.5.7" TargetMode="External"/><Relationship Id="rId16" Type="http://schemas.openxmlformats.org/officeDocument/2006/relationships/hyperlink" Target="https://doi.org/10.17323/2500-2597.2019.2.72.83" TargetMode="External"/><Relationship Id="rId107" Type="http://schemas.openxmlformats.org/officeDocument/2006/relationships/hyperlink" Target="https://doi.org/10.17323/2500-2597.2020.4.47.60" TargetMode="External"/><Relationship Id="rId11" Type="http://schemas.openxmlformats.org/officeDocument/2006/relationships/hyperlink" Target="https://doi.org/10.17323/2500-2597.2018.2.62.76" TargetMode="External"/><Relationship Id="rId32" Type="http://schemas.openxmlformats.org/officeDocument/2006/relationships/hyperlink" Target="https://doi.org/10.17323/1995-459x.2016.3.53.64" TargetMode="External"/><Relationship Id="rId37" Type="http://schemas.openxmlformats.org/officeDocument/2006/relationships/hyperlink" Target="https://doi.org/10.17323/1995-459x.2016.1.53.67" TargetMode="External"/><Relationship Id="rId53" Type="http://schemas.openxmlformats.org/officeDocument/2006/relationships/hyperlink" Target="https://doi.org/10.17323/2500-2597.2020.1.60.68" TargetMode="External"/><Relationship Id="rId58" Type="http://schemas.openxmlformats.org/officeDocument/2006/relationships/hyperlink" Target="https://doi.org/10.17323/1995-459x.2016.3.7.16" TargetMode="External"/><Relationship Id="rId74" Type="http://schemas.openxmlformats.org/officeDocument/2006/relationships/hyperlink" Target="https://doi.org/10.17323/2500-2597.2017.4.44.51" TargetMode="External"/><Relationship Id="rId79" Type="http://schemas.openxmlformats.org/officeDocument/2006/relationships/hyperlink" Target="https://doi.org/10.17323/2500-2597.2021.1.74.85" TargetMode="External"/><Relationship Id="rId102" Type="http://schemas.openxmlformats.org/officeDocument/2006/relationships/hyperlink" Target="https://doi.org/10.17323/2500-2597.2020.1.70.84" TargetMode="External"/><Relationship Id="rId123" Type="http://schemas.openxmlformats.org/officeDocument/2006/relationships/hyperlink" Target="https://doi.org/10.17323/2500-2597.2018.4.78.89" TargetMode="External"/><Relationship Id="rId128" Type="http://schemas.openxmlformats.org/officeDocument/2006/relationships/hyperlink" Target="https://doi.org/10.17323/2500-2597.2019.3.51.60" TargetMode="External"/><Relationship Id="rId144" Type="http://schemas.openxmlformats.org/officeDocument/2006/relationships/hyperlink" Target="https://doi.org/10.17323/2500-2597.2020.3.55.70" TargetMode="External"/><Relationship Id="rId149" Type="http://schemas.openxmlformats.org/officeDocument/2006/relationships/hyperlink" Target="https://doi.org/10.17323/2500-2597.2021.2.52.64" TargetMode="External"/><Relationship Id="rId5" Type="http://schemas.openxmlformats.org/officeDocument/2006/relationships/hyperlink" Target="https://doi.org/10.17323/2500-2597.2019.2.84.96" TargetMode="External"/><Relationship Id="rId90" Type="http://schemas.openxmlformats.org/officeDocument/2006/relationships/hyperlink" Target="https://doi.org/10.17323/2500-2597.2021.1.39.54" TargetMode="External"/><Relationship Id="rId95" Type="http://schemas.openxmlformats.org/officeDocument/2006/relationships/hyperlink" Target="https://doi.org/10.17323/2500-2597.2017.4.84.95" TargetMode="External"/><Relationship Id="rId160" Type="http://schemas.openxmlformats.org/officeDocument/2006/relationships/hyperlink" Target="https://doi.org/10.17323/2500-2597.2017.3.61.70" TargetMode="External"/><Relationship Id="rId165" Type="http://schemas.openxmlformats.org/officeDocument/2006/relationships/hyperlink" Target="https://doi.org/10.17323/2500-2597.2020.3.101.112" TargetMode="External"/><Relationship Id="rId22" Type="http://schemas.openxmlformats.org/officeDocument/2006/relationships/hyperlink" Target="https://doi.org/10.17323/1995-459x.2016.3.18.28" TargetMode="External"/><Relationship Id="rId27" Type="http://schemas.openxmlformats.org/officeDocument/2006/relationships/hyperlink" Target="https://doi.org/10.17323/1995-459x.2016.1.43.52" TargetMode="External"/><Relationship Id="rId43" Type="http://schemas.openxmlformats.org/officeDocument/2006/relationships/hyperlink" Target="https://doi.org/10.17323/2500-2597.2017.3.25.36" TargetMode="External"/><Relationship Id="rId48" Type="http://schemas.openxmlformats.org/officeDocument/2006/relationships/hyperlink" Target="https://doi.org/10.17323/1995-459x.2016.2.44.56" TargetMode="External"/><Relationship Id="rId64" Type="http://schemas.openxmlformats.org/officeDocument/2006/relationships/hyperlink" Target="https://doi.org/10.17323/2500-2597.2017.4.33.43" TargetMode="External"/><Relationship Id="rId69" Type="http://schemas.openxmlformats.org/officeDocument/2006/relationships/hyperlink" Target="https://doi.org/10.17323/1995-459x.2015.2.22.37" TargetMode="External"/><Relationship Id="rId113" Type="http://schemas.openxmlformats.org/officeDocument/2006/relationships/hyperlink" Target="https://doi.org/10.17323/2500-2597.2021.3.35.51" TargetMode="External"/><Relationship Id="rId118" Type="http://schemas.openxmlformats.org/officeDocument/2006/relationships/hyperlink" Target="https://doi.org/10.17323/1995-459x.2016.4.25.45." TargetMode="External"/><Relationship Id="rId134" Type="http://schemas.openxmlformats.org/officeDocument/2006/relationships/hyperlink" Target="https://doi.org/10.17323/2500-2597.2020.4.80.94" TargetMode="External"/><Relationship Id="rId139" Type="http://schemas.openxmlformats.org/officeDocument/2006/relationships/hyperlink" Target="https://doi.org/10.17323/2500-2597.2017.1.42.53." TargetMode="External"/><Relationship Id="rId80" Type="http://schemas.openxmlformats.org/officeDocument/2006/relationships/hyperlink" Target="https://doi.org/10.17323/2500-2597.2021.4.61.77" TargetMode="External"/><Relationship Id="rId85" Type="http://schemas.openxmlformats.org/officeDocument/2006/relationships/hyperlink" Target="https://doi.org/10.17323/2500-2597.2018.4.46.61" TargetMode="External"/><Relationship Id="rId150" Type="http://schemas.openxmlformats.org/officeDocument/2006/relationships/hyperlink" Target="https://doi.org/10.17323/2500-2597.2021.2.25.38" TargetMode="External"/><Relationship Id="rId155" Type="http://schemas.openxmlformats.org/officeDocument/2006/relationships/hyperlink" Target="https://doi.org/10.17323/2500-2597.2021.3.81.92" TargetMode="External"/><Relationship Id="rId171" Type="http://schemas.openxmlformats.org/officeDocument/2006/relationships/hyperlink" Target="https://doi.org/10.17323/1995-459x.2016.4.7.24." TargetMode="External"/><Relationship Id="rId176" Type="http://schemas.openxmlformats.org/officeDocument/2006/relationships/drawing" Target="../drawings/drawing1.xml"/><Relationship Id="rId12" Type="http://schemas.openxmlformats.org/officeDocument/2006/relationships/hyperlink" Target="https://doi.org/10.17323/1995-459x.2016.3.65.75" TargetMode="External"/><Relationship Id="rId17" Type="http://schemas.openxmlformats.org/officeDocument/2006/relationships/hyperlink" Target="https://doi.org/10.17323/1995-459x.2016.3.34.52" TargetMode="External"/><Relationship Id="rId33" Type="http://schemas.openxmlformats.org/officeDocument/2006/relationships/hyperlink" Target="https://doi.org/10.17323/2500-2597.2019.1.32.47" TargetMode="External"/><Relationship Id="rId38" Type="http://schemas.openxmlformats.org/officeDocument/2006/relationships/hyperlink" Target="https://doi.org/10.17323/2500-2597.2019.2.42.51" TargetMode="External"/><Relationship Id="rId59" Type="http://schemas.openxmlformats.org/officeDocument/2006/relationships/hyperlink" Target="https://doi.org/10.17323/2500-2597.2017.2.83.91" TargetMode="External"/><Relationship Id="rId103" Type="http://schemas.openxmlformats.org/officeDocument/2006/relationships/hyperlink" Target="https://doi.org/10.17323/2500-2597.2020.1.6.27" TargetMode="External"/><Relationship Id="rId108" Type="http://schemas.openxmlformats.org/officeDocument/2006/relationships/hyperlink" Target="https://doi.org/10.17323/2500-2597.2020.4.112.120" TargetMode="External"/><Relationship Id="rId124" Type="http://schemas.openxmlformats.org/officeDocument/2006/relationships/hyperlink" Target="https://doi.org/10.17323/2500-2597.2018.4.62.77" TargetMode="External"/><Relationship Id="rId129" Type="http://schemas.openxmlformats.org/officeDocument/2006/relationships/hyperlink" Target="https://doi.org/10.17323/2500-2597.2019.3.77.88" TargetMode="External"/><Relationship Id="rId54" Type="http://schemas.openxmlformats.org/officeDocument/2006/relationships/hyperlink" Target="https://doi.org/10.17323/2500-2597.2020.2.88.104" TargetMode="External"/><Relationship Id="rId70" Type="http://schemas.openxmlformats.org/officeDocument/2006/relationships/hyperlink" Target="https://doi.org/10.17323/1995-459x.2016.3.30.33" TargetMode="External"/><Relationship Id="rId75" Type="http://schemas.openxmlformats.org/officeDocument/2006/relationships/hyperlink" Target="https://doi.org/10.17323/2500-2597.2018.1.88.97" TargetMode="External"/><Relationship Id="rId91" Type="http://schemas.openxmlformats.org/officeDocument/2006/relationships/hyperlink" Target="https://doi.org/10.17323/2500-2597.2021.4.42.51" TargetMode="External"/><Relationship Id="rId96" Type="http://schemas.openxmlformats.org/officeDocument/2006/relationships/hyperlink" Target="https://doi.org/10.17323/2500-2597.2018.2.36.48" TargetMode="External"/><Relationship Id="rId140" Type="http://schemas.openxmlformats.org/officeDocument/2006/relationships/hyperlink" Target="https://doi.org/10.17323/2500-2597.2018.3.34.42" TargetMode="External"/><Relationship Id="rId145" Type="http://schemas.openxmlformats.org/officeDocument/2006/relationships/hyperlink" Target="https://doi.org/10.17323/2500-2597.2020.3.6.13" TargetMode="External"/><Relationship Id="rId161" Type="http://schemas.openxmlformats.org/officeDocument/2006/relationships/hyperlink" Target="https://doi.org/10.17323/2500-2597.2018.1.56.67" TargetMode="External"/><Relationship Id="rId166" Type="http://schemas.openxmlformats.org/officeDocument/2006/relationships/hyperlink" Target="https://doi.org/10.17323/2500-2597.2021.1.31.38" TargetMode="External"/><Relationship Id="rId1" Type="http://schemas.openxmlformats.org/officeDocument/2006/relationships/hyperlink" Target="https://doi.org/10.17323/1995-459x.2016.1.31.42" TargetMode="External"/><Relationship Id="rId6" Type="http://schemas.openxmlformats.org/officeDocument/2006/relationships/hyperlink" Target="https://doi.org/10.17323/1995-459x.2016.2.7.27" TargetMode="External"/><Relationship Id="rId23" Type="http://schemas.openxmlformats.org/officeDocument/2006/relationships/hyperlink" Target="https://doi.org/10.17323/2500-2597.2018.3.62.72" TargetMode="External"/><Relationship Id="rId28" Type="http://schemas.openxmlformats.org/officeDocument/2006/relationships/hyperlink" Target="https://doi.org/10.17323/1995-459x.2016.3.76.90" TargetMode="External"/><Relationship Id="rId49" Type="http://schemas.openxmlformats.org/officeDocument/2006/relationships/hyperlink" Target="https://doi.org/10.17323/1995-459x.2016.4.9.22" TargetMode="External"/><Relationship Id="rId114" Type="http://schemas.openxmlformats.org/officeDocument/2006/relationships/hyperlink" Target="https://doi.org/10.17323/2500-2597.2021.3.52.65" TargetMode="External"/><Relationship Id="rId119" Type="http://schemas.openxmlformats.org/officeDocument/2006/relationships/hyperlink" Target="https://doi.org/10.17323/1995-459x.2015.2.38.43" TargetMode="External"/><Relationship Id="rId10" Type="http://schemas.openxmlformats.org/officeDocument/2006/relationships/hyperlink" Target="https://doi.org/10.17323/2500-2597.2017.3.37.48" TargetMode="External"/><Relationship Id="rId31" Type="http://schemas.openxmlformats.org/officeDocument/2006/relationships/hyperlink" Target="https://doi.org/10.17323/1995-459x.2015.2.44.57" TargetMode="External"/><Relationship Id="rId44" Type="http://schemas.openxmlformats.org/officeDocument/2006/relationships/hyperlink" Target="https://doi.org/10.17323/2500-2597.2019.3.13.22" TargetMode="External"/><Relationship Id="rId52" Type="http://schemas.openxmlformats.org/officeDocument/2006/relationships/hyperlink" Target="https://doi.org/10.17323/2500-2597.2019.4.48.59" TargetMode="External"/><Relationship Id="rId60" Type="http://schemas.openxmlformats.org/officeDocument/2006/relationships/hyperlink" Target="https://doi.org/10.17323/2500-2597.2017.2.68.82" TargetMode="External"/><Relationship Id="rId65" Type="http://schemas.openxmlformats.org/officeDocument/2006/relationships/hyperlink" Target="https://doi.org/10.17323/2500-2597.2020.4.95.111" TargetMode="External"/><Relationship Id="rId73" Type="http://schemas.openxmlformats.org/officeDocument/2006/relationships/hyperlink" Target="https://doi.org/10.17323/2500-2597.2017.4.52.61" TargetMode="External"/><Relationship Id="rId78" Type="http://schemas.openxmlformats.org/officeDocument/2006/relationships/hyperlink" Target="https://doi.org/10.17323/2500-2597.2020.2.64.75" TargetMode="External"/><Relationship Id="rId81" Type="http://schemas.openxmlformats.org/officeDocument/2006/relationships/hyperlink" Target="https://doi.org/10.17323/2500-2597.2018.1.80.87" TargetMode="External"/><Relationship Id="rId86" Type="http://schemas.openxmlformats.org/officeDocument/2006/relationships/hyperlink" Target="https://doi.org/10.17323/2500-2597.2018.4.5.8" TargetMode="External"/><Relationship Id="rId94" Type="http://schemas.openxmlformats.org/officeDocument/2006/relationships/hyperlink" Target="https://doi.org/10.17323/2500-2597.2017.3.71.81" TargetMode="External"/><Relationship Id="rId99" Type="http://schemas.openxmlformats.org/officeDocument/2006/relationships/hyperlink" Target="https://doi.org/10.17323/2500-2597.2019.1.62.68" TargetMode="External"/><Relationship Id="rId101" Type="http://schemas.openxmlformats.org/officeDocument/2006/relationships/hyperlink" Target="https://doi.org/10.17323/2500-2597.2019.4.69.81" TargetMode="External"/><Relationship Id="rId122" Type="http://schemas.openxmlformats.org/officeDocument/2006/relationships/hyperlink" Target="https://doi.org/10.17323/2500-2597.2018.1.47.55" TargetMode="External"/><Relationship Id="rId130" Type="http://schemas.openxmlformats.org/officeDocument/2006/relationships/hyperlink" Target="https://doi.org/10.17323/2500-2597.2019.3.41.49" TargetMode="External"/><Relationship Id="rId135" Type="http://schemas.openxmlformats.org/officeDocument/2006/relationships/hyperlink" Target="https://doi.org/10.17323/2500-2597.2017.1.55.65." TargetMode="External"/><Relationship Id="rId143" Type="http://schemas.openxmlformats.org/officeDocument/2006/relationships/hyperlink" Target="https://doi.org/10.17323/2500-2597.2020.3.15.29" TargetMode="External"/><Relationship Id="rId148" Type="http://schemas.openxmlformats.org/officeDocument/2006/relationships/hyperlink" Target="https://doi.org/10.17323/2500-2597.2021.1.86.96" TargetMode="External"/><Relationship Id="rId151" Type="http://schemas.openxmlformats.org/officeDocument/2006/relationships/hyperlink" Target="https://doi.org/10.17323/2500-2597.2021.2.39.51" TargetMode="External"/><Relationship Id="rId156" Type="http://schemas.openxmlformats.org/officeDocument/2006/relationships/hyperlink" Target="https://doi.org/10.17323/1995-459x.2015.2.58.71" TargetMode="External"/><Relationship Id="rId164" Type="http://schemas.openxmlformats.org/officeDocument/2006/relationships/hyperlink" Target="https://doi.org/10.17323/2500-2597.2020.3.72.87" TargetMode="External"/><Relationship Id="rId169" Type="http://schemas.openxmlformats.org/officeDocument/2006/relationships/hyperlink" Target="https://doi.org/10.17323/2500-2597.2021.4.33.41" TargetMode="External"/><Relationship Id="rId4" Type="http://schemas.openxmlformats.org/officeDocument/2006/relationships/hyperlink" Target="https://doi.org/10.17323/2500-2597.2019.2.19.41" TargetMode="External"/><Relationship Id="rId9" Type="http://schemas.openxmlformats.org/officeDocument/2006/relationships/hyperlink" Target="https://doi.org/10.17323/1995-459x.2015.1.68.81" TargetMode="External"/><Relationship Id="rId172" Type="http://schemas.openxmlformats.org/officeDocument/2006/relationships/hyperlink" Target="https://doi.org/10.17323/1995-459x.2016.4.46.58." TargetMode="External"/><Relationship Id="rId13" Type="http://schemas.openxmlformats.org/officeDocument/2006/relationships/hyperlink" Target="https://doi.org/10.17323/2500-2597.2020.2.7.22" TargetMode="External"/><Relationship Id="rId18" Type="http://schemas.openxmlformats.org/officeDocument/2006/relationships/hyperlink" Target="https://doi.org/10.17323/2500-2597.2017.3.103.111" TargetMode="External"/><Relationship Id="rId39" Type="http://schemas.openxmlformats.org/officeDocument/2006/relationships/hyperlink" Target="https://doi.org/10.17323/2500-2597.2019.2.62.71" TargetMode="External"/><Relationship Id="rId109" Type="http://schemas.openxmlformats.org/officeDocument/2006/relationships/hyperlink" Target="https://doi.org/10.17323/2500-2597.2017.1.9.22." TargetMode="External"/><Relationship Id="rId34" Type="http://schemas.openxmlformats.org/officeDocument/2006/relationships/hyperlink" Target="https://doi.org/10.17323/1995-459x.2016.1.7.15" TargetMode="External"/><Relationship Id="rId50" Type="http://schemas.openxmlformats.org/officeDocument/2006/relationships/hyperlink" Target="https://doi.org/10.17323/2500-2597.2019.2.107.119" TargetMode="External"/><Relationship Id="rId55" Type="http://schemas.openxmlformats.org/officeDocument/2006/relationships/hyperlink" Target="https://doi.org/10.17323/2500-2597.2020.4.10.19" TargetMode="External"/><Relationship Id="rId76" Type="http://schemas.openxmlformats.org/officeDocument/2006/relationships/hyperlink" Target="https://doi.org/10.17323/2500-2597.2018.2.78.90" TargetMode="External"/><Relationship Id="rId97" Type="http://schemas.openxmlformats.org/officeDocument/2006/relationships/hyperlink" Target="https://doi.org/10.17323/2500-2597.2018.2.24.35" TargetMode="External"/><Relationship Id="rId104" Type="http://schemas.openxmlformats.org/officeDocument/2006/relationships/hyperlink" Target="https://doi.org/10.17323/2500-2597.2020.2.36.50" TargetMode="External"/><Relationship Id="rId120" Type="http://schemas.openxmlformats.org/officeDocument/2006/relationships/hyperlink" Target="https://doi.org/10.17323/1995-459x.2016.2.81.91" TargetMode="External"/><Relationship Id="rId125" Type="http://schemas.openxmlformats.org/officeDocument/2006/relationships/hyperlink" Target="https://doi.org/10.17323/2500-2597.2019.1.48.61" TargetMode="External"/><Relationship Id="rId141" Type="http://schemas.openxmlformats.org/officeDocument/2006/relationships/hyperlink" Target="https://doi.org/10.17323/2500-2597.2019.4.35.46" TargetMode="External"/><Relationship Id="rId146" Type="http://schemas.openxmlformats.org/officeDocument/2006/relationships/hyperlink" Target="https://doi.org/10.17323/2500-2597.2020.4.6.8" TargetMode="External"/><Relationship Id="rId167" Type="http://schemas.openxmlformats.org/officeDocument/2006/relationships/hyperlink" Target="https://doi.org/10.17323/2500-2597.2017.1.24.30." TargetMode="External"/><Relationship Id="rId7" Type="http://schemas.openxmlformats.org/officeDocument/2006/relationships/hyperlink" Target="https://doi.org/10.17323/1995-459x.2015.1.32.55" TargetMode="External"/><Relationship Id="rId71" Type="http://schemas.openxmlformats.org/officeDocument/2006/relationships/hyperlink" Target="https://doi.org/10.17323/2500-2597.2017.2.92.97" TargetMode="External"/><Relationship Id="rId92" Type="http://schemas.openxmlformats.org/officeDocument/2006/relationships/hyperlink" Target="https://doi.org/10.17323/1995-459x.2016.1.16.29" TargetMode="External"/><Relationship Id="rId162" Type="http://schemas.openxmlformats.org/officeDocument/2006/relationships/hyperlink" Target="https://doi.org/10.17323/2500-2597.2018.3.13.19" TargetMode="External"/><Relationship Id="rId2" Type="http://schemas.openxmlformats.org/officeDocument/2006/relationships/hyperlink" Target="https://doi.org/10.17323/2500-2597.2017.4.6.8" TargetMode="External"/><Relationship Id="rId29" Type="http://schemas.openxmlformats.org/officeDocument/2006/relationships/hyperlink" Target="https://doi.org/10.17323/2500-2597.2017.4.23.32" TargetMode="External"/><Relationship Id="rId24" Type="http://schemas.openxmlformats.org/officeDocument/2006/relationships/hyperlink" Target="https://doi.org/10.17323/2500-2597.2018.4.20.33" TargetMode="External"/><Relationship Id="rId40" Type="http://schemas.openxmlformats.org/officeDocument/2006/relationships/hyperlink" Target="https://doi.org/10.17323/2500-2597.2019.3.24.40" TargetMode="External"/><Relationship Id="rId45" Type="http://schemas.openxmlformats.org/officeDocument/2006/relationships/hyperlink" Target="https://doi.org/10.17323/2500-2597.2019.4.10.22" TargetMode="External"/><Relationship Id="rId66" Type="http://schemas.openxmlformats.org/officeDocument/2006/relationships/hyperlink" Target="https://doi.org/10.17323/2500-2597.2021.1.19.29" TargetMode="External"/><Relationship Id="rId87" Type="http://schemas.openxmlformats.org/officeDocument/2006/relationships/hyperlink" Target="https://doi.org/10.17323/2500-2597.2019.1.70.76" TargetMode="External"/><Relationship Id="rId110" Type="http://schemas.openxmlformats.org/officeDocument/2006/relationships/hyperlink" Target="https://doi.org/10.17323/2500-2597.2021.1.6.18" TargetMode="External"/><Relationship Id="rId115" Type="http://schemas.openxmlformats.org/officeDocument/2006/relationships/hyperlink" Target="https://doi.org/10.17323/2500-2597.2021.3.66.80" TargetMode="External"/><Relationship Id="rId131" Type="http://schemas.openxmlformats.org/officeDocument/2006/relationships/hyperlink" Target="https://doi.org/10.17323/2500-2597.2019.4.6.8" TargetMode="External"/><Relationship Id="rId136" Type="http://schemas.openxmlformats.org/officeDocument/2006/relationships/hyperlink" Target="https://doi.org/10.17323/2500-2597.2021.2.12.24" TargetMode="External"/><Relationship Id="rId157" Type="http://schemas.openxmlformats.org/officeDocument/2006/relationships/hyperlink" Target="https://doi.org/10.17323/1995-459x.2016.4.72.79." TargetMode="External"/><Relationship Id="rId61" Type="http://schemas.openxmlformats.org/officeDocument/2006/relationships/hyperlink" Target="https://doi.org/10.17323/2500-2597.2017.1.54.66" TargetMode="External"/><Relationship Id="rId82" Type="http://schemas.openxmlformats.org/officeDocument/2006/relationships/hyperlink" Target="https://doi.org/10.17323/2500-2597.2018.1.69.78" TargetMode="External"/><Relationship Id="rId152" Type="http://schemas.openxmlformats.org/officeDocument/2006/relationships/hyperlink" Target="https://doi.org/10.17323/2500-2597.2021.3.94.104" TargetMode="External"/><Relationship Id="rId173" Type="http://schemas.openxmlformats.org/officeDocument/2006/relationships/hyperlink" Target="https://doi.org/10.17323/2500-2597.2019.1.6.18." TargetMode="External"/><Relationship Id="rId19" Type="http://schemas.openxmlformats.org/officeDocument/2006/relationships/hyperlink" Target="https://doi.org/10.17323/1995-459x.2016.2.29.42" TargetMode="External"/><Relationship Id="rId14" Type="http://schemas.openxmlformats.org/officeDocument/2006/relationships/hyperlink" Target="https://doi.org/10.17323/2500-2597.2019.1.77.89" TargetMode="External"/><Relationship Id="rId30" Type="http://schemas.openxmlformats.org/officeDocument/2006/relationships/hyperlink" Target="https://doi.org/10.17323/2500-2597.2017.4.63.73" TargetMode="External"/><Relationship Id="rId35" Type="http://schemas.openxmlformats.org/officeDocument/2006/relationships/hyperlink" Target="https://doi.org/10.17323/1995-459x.2016.2.58.80" TargetMode="External"/><Relationship Id="rId56" Type="http://schemas.openxmlformats.org/officeDocument/2006/relationships/hyperlink" Target="https://doi.org/10.17323/2500-2597.2020.4.20.33" TargetMode="External"/><Relationship Id="rId77" Type="http://schemas.openxmlformats.org/officeDocument/2006/relationships/hyperlink" Target="https://doi.org/10.17323/2500-2597.2018.3.6.12" TargetMode="External"/><Relationship Id="rId100" Type="http://schemas.openxmlformats.org/officeDocument/2006/relationships/hyperlink" Target="https://doi.org/10.17323/2500-2597.2019.4.60.68" TargetMode="External"/><Relationship Id="rId105" Type="http://schemas.openxmlformats.org/officeDocument/2006/relationships/hyperlink" Target="https://doi.org/10.17323/2500-2597.2020.3.88.99" TargetMode="External"/><Relationship Id="rId126" Type="http://schemas.openxmlformats.org/officeDocument/2006/relationships/hyperlink" Target="https://doi.org/10.17323/2500-2597.2018.4.35.44" TargetMode="External"/><Relationship Id="rId147" Type="http://schemas.openxmlformats.org/officeDocument/2006/relationships/hyperlink" Target="https://doi.org/10.17323/2500-2597.2021.2.65.81" TargetMode="External"/><Relationship Id="rId168" Type="http://schemas.openxmlformats.org/officeDocument/2006/relationships/hyperlink" Target="https://doi.org/10.17323/2500-2597.2021.3.23.34" TargetMode="External"/><Relationship Id="rId8" Type="http://schemas.openxmlformats.org/officeDocument/2006/relationships/hyperlink" Target="https://doi.org/10.17323/2500-2597.2018.2.50.61" TargetMode="External"/><Relationship Id="rId51" Type="http://schemas.openxmlformats.org/officeDocument/2006/relationships/hyperlink" Target="https://doi.org/10.17323/2500-2597.2019.3.62.76" TargetMode="External"/><Relationship Id="rId72" Type="http://schemas.openxmlformats.org/officeDocument/2006/relationships/hyperlink" Target="https://doi.org/10.17323/2500-2597.2017.3.11.24" TargetMode="External"/><Relationship Id="rId93" Type="http://schemas.openxmlformats.org/officeDocument/2006/relationships/hyperlink" Target="https://doi.org/10.17323/2500-2597.2017.3.6.9" TargetMode="External"/><Relationship Id="rId98" Type="http://schemas.openxmlformats.org/officeDocument/2006/relationships/hyperlink" Target="https://doi.org/10.17323/2500-2597.2018.4.10.19" TargetMode="External"/><Relationship Id="rId121" Type="http://schemas.openxmlformats.org/officeDocument/2006/relationships/hyperlink" Target="https://doi.org/10.17323/2500-2597.2017.1.66.74." TargetMode="External"/><Relationship Id="rId142" Type="http://schemas.openxmlformats.org/officeDocument/2006/relationships/hyperlink" Target="https://doi.org/10.17323/2500-2597.2019.4.23.34" TargetMode="External"/><Relationship Id="rId163" Type="http://schemas.openxmlformats.org/officeDocument/2006/relationships/hyperlink" Target="https://doi.org/10.17323/2500-2597.2020.2.76.86" TargetMode="External"/><Relationship Id="rId3" Type="http://schemas.openxmlformats.org/officeDocument/2006/relationships/hyperlink" Target="https://doi.org/10.17323/2500-2597.2017.2.10.26" TargetMode="External"/><Relationship Id="rId25" Type="http://schemas.openxmlformats.org/officeDocument/2006/relationships/hyperlink" Target="https://doi.org/10.17323/2500-2597.2019.2.52.60" TargetMode="External"/><Relationship Id="rId46" Type="http://schemas.openxmlformats.org/officeDocument/2006/relationships/hyperlink" Target="https://doi.org/10.17323/2500-2597.2019.3.6.12" TargetMode="External"/><Relationship Id="rId67" Type="http://schemas.openxmlformats.org/officeDocument/2006/relationships/hyperlink" Target="https://doi.org/10.17323/2500-2597.2021.2.5.11" TargetMode="External"/><Relationship Id="rId116" Type="http://schemas.openxmlformats.org/officeDocument/2006/relationships/hyperlink" Target="https://doi.org/10.17323/1995-459x.2015.1.6.19" TargetMode="External"/><Relationship Id="rId137" Type="http://schemas.openxmlformats.org/officeDocument/2006/relationships/hyperlink" Target="https://doi.org/10.17323/2500-2597.2021.3.105.121" TargetMode="External"/><Relationship Id="rId158" Type="http://schemas.openxmlformats.org/officeDocument/2006/relationships/hyperlink" Target="https://doi.org/10.17323/1995-459x.2016.4.60.70." TargetMode="External"/><Relationship Id="rId20" Type="http://schemas.openxmlformats.org/officeDocument/2006/relationships/hyperlink" Target="https://doi.org/10.17323/2500-2597.2018.2.6.22" TargetMode="External"/><Relationship Id="rId41" Type="http://schemas.openxmlformats.org/officeDocument/2006/relationships/hyperlink" Target="https://doi.org/10.17323/2500-2597.2020.1.48.59" TargetMode="External"/><Relationship Id="rId62" Type="http://schemas.openxmlformats.org/officeDocument/2006/relationships/hyperlink" Target="https://doi.org/10.17323/2500-2597.2017.3.50.60" TargetMode="External"/><Relationship Id="rId83" Type="http://schemas.openxmlformats.org/officeDocument/2006/relationships/hyperlink" Target="https://doi.org/10.17323/2500-2597.2018.3.30.33" TargetMode="External"/><Relationship Id="rId88" Type="http://schemas.openxmlformats.org/officeDocument/2006/relationships/hyperlink" Target="https://doi.org/10.17323/2500-2597.2017.4.74.83" TargetMode="External"/><Relationship Id="rId111" Type="http://schemas.openxmlformats.org/officeDocument/2006/relationships/hyperlink" Target="https://doi.org/10.17323/2500-2597.2021.1.97.105" TargetMode="External"/><Relationship Id="rId132" Type="http://schemas.openxmlformats.org/officeDocument/2006/relationships/hyperlink" Target="https://doi.org/10.17323/2500-2597.2020.2.51.62" TargetMode="External"/><Relationship Id="rId153" Type="http://schemas.openxmlformats.org/officeDocument/2006/relationships/hyperlink" Target="https://doi.org/10.17323/2500-2597.2021.4.9.21" TargetMode="External"/><Relationship Id="rId174" Type="http://schemas.openxmlformats.org/officeDocument/2006/relationships/hyperlink" Target="https://doi.org/10.17323/2500-2597.2017.1.42.53." TargetMode="External"/><Relationship Id="rId15" Type="http://schemas.openxmlformats.org/officeDocument/2006/relationships/hyperlink" Target="https://doi.org/10.17323/2500-2597.2017.2.27.42" TargetMode="External"/><Relationship Id="rId36" Type="http://schemas.openxmlformats.org/officeDocument/2006/relationships/hyperlink" Target="https://doi.org/10.17323/1995-459x.2015.1.20.31" TargetMode="External"/><Relationship Id="rId57" Type="http://schemas.openxmlformats.org/officeDocument/2006/relationships/hyperlink" Target="https://doi.org/10.17323/2500-2597.2017.2.44.53" TargetMode="External"/><Relationship Id="rId106" Type="http://schemas.openxmlformats.org/officeDocument/2006/relationships/hyperlink" Target="https://doi.org/10.17323/2500-2597.2020.3.41.54" TargetMode="External"/><Relationship Id="rId127" Type="http://schemas.openxmlformats.org/officeDocument/2006/relationships/hyperlink" Target="https://doi.org/10.17323/2500-2597.2019.2.98.106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AH363"/>
  <sheetViews>
    <sheetView topLeftCell="L1" workbookViewId="0">
      <selection activeCell="U356" sqref="U356"/>
    </sheetView>
  </sheetViews>
  <sheetFormatPr defaultRowHeight="14.4" x14ac:dyDescent="0.3"/>
  <sheetData>
    <row r="1" spans="1:34" x14ac:dyDescent="0.3"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  <c r="J1" s="1" t="s">
        <v>8</v>
      </c>
      <c r="K1" s="1" t="s">
        <v>9</v>
      </c>
      <c r="L1" s="1" t="s">
        <v>10</v>
      </c>
      <c r="M1" s="1" t="s">
        <v>11</v>
      </c>
      <c r="N1" s="1" t="s">
        <v>12</v>
      </c>
      <c r="O1" s="1" t="s">
        <v>13</v>
      </c>
      <c r="P1" s="1" t="s">
        <v>14</v>
      </c>
      <c r="Q1" s="1" t="s">
        <v>15</v>
      </c>
      <c r="R1" s="1" t="s">
        <v>16</v>
      </c>
      <c r="S1" s="1" t="s">
        <v>17</v>
      </c>
      <c r="T1" s="1" t="s">
        <v>18</v>
      </c>
      <c r="U1" s="1" t="s">
        <v>19</v>
      </c>
      <c r="V1" s="1" t="s">
        <v>20</v>
      </c>
      <c r="W1" s="1" t="s">
        <v>21</v>
      </c>
      <c r="X1" s="1" t="s">
        <v>22</v>
      </c>
      <c r="Y1" s="1" t="s">
        <v>23</v>
      </c>
      <c r="Z1" s="1" t="s">
        <v>24</v>
      </c>
      <c r="AA1" s="1" t="s">
        <v>25</v>
      </c>
      <c r="AB1" s="1" t="s">
        <v>26</v>
      </c>
      <c r="AC1" s="1" t="s">
        <v>27</v>
      </c>
      <c r="AD1" s="1" t="s">
        <v>28</v>
      </c>
      <c r="AE1" s="1" t="s">
        <v>29</v>
      </c>
      <c r="AF1" s="1" t="s">
        <v>30</v>
      </c>
      <c r="AG1" s="1" t="s">
        <v>31</v>
      </c>
      <c r="AH1" s="1" t="s">
        <v>32</v>
      </c>
    </row>
    <row r="2" spans="1:34" x14ac:dyDescent="0.3">
      <c r="A2" s="1">
        <v>0</v>
      </c>
      <c r="B2" s="2" t="s">
        <v>33</v>
      </c>
      <c r="C2" t="s">
        <v>206</v>
      </c>
      <c r="D2">
        <v>2016</v>
      </c>
      <c r="E2">
        <v>97</v>
      </c>
      <c r="F2">
        <v>2</v>
      </c>
      <c r="G2" t="s">
        <v>561</v>
      </c>
      <c r="H2" t="s">
        <v>562</v>
      </c>
      <c r="I2" t="s">
        <v>884</v>
      </c>
      <c r="J2" t="s">
        <v>1193</v>
      </c>
      <c r="K2" t="s">
        <v>1425</v>
      </c>
      <c r="Z2" t="s">
        <v>2166</v>
      </c>
      <c r="AA2" t="s">
        <v>2167</v>
      </c>
    </row>
    <row r="3" spans="1:34" x14ac:dyDescent="0.3">
      <c r="A3" s="1">
        <v>1</v>
      </c>
      <c r="B3" s="2" t="s">
        <v>34</v>
      </c>
      <c r="C3" t="s">
        <v>207</v>
      </c>
      <c r="D3">
        <v>2017</v>
      </c>
      <c r="E3">
        <v>74</v>
      </c>
      <c r="F3">
        <v>1</v>
      </c>
      <c r="G3" t="s">
        <v>561</v>
      </c>
      <c r="H3" t="s">
        <v>563</v>
      </c>
      <c r="I3" t="s">
        <v>885</v>
      </c>
      <c r="Z3" t="s">
        <v>2167</v>
      </c>
    </row>
    <row r="4" spans="1:34" x14ac:dyDescent="0.3">
      <c r="A4" s="1">
        <v>2</v>
      </c>
      <c r="B4" s="2" t="s">
        <v>35</v>
      </c>
      <c r="C4" t="s">
        <v>208</v>
      </c>
      <c r="D4">
        <v>2017</v>
      </c>
      <c r="E4">
        <v>45</v>
      </c>
      <c r="F4">
        <v>2</v>
      </c>
      <c r="G4" t="s">
        <v>561</v>
      </c>
      <c r="H4" t="s">
        <v>564</v>
      </c>
      <c r="I4" t="s">
        <v>886</v>
      </c>
      <c r="J4" t="s">
        <v>1194</v>
      </c>
      <c r="K4" t="s">
        <v>1426</v>
      </c>
      <c r="Z4" t="s">
        <v>2168</v>
      </c>
      <c r="AA4" t="s">
        <v>2168</v>
      </c>
    </row>
    <row r="5" spans="1:34" x14ac:dyDescent="0.3">
      <c r="A5" s="1">
        <v>4</v>
      </c>
      <c r="B5" s="2" t="s">
        <v>36</v>
      </c>
      <c r="C5" t="s">
        <v>209</v>
      </c>
      <c r="D5">
        <v>2019</v>
      </c>
      <c r="E5">
        <v>37</v>
      </c>
      <c r="F5">
        <v>3</v>
      </c>
      <c r="G5" t="s">
        <v>561</v>
      </c>
      <c r="H5" t="s">
        <v>565</v>
      </c>
      <c r="I5" t="s">
        <v>887</v>
      </c>
      <c r="J5" t="s">
        <v>665</v>
      </c>
      <c r="K5" t="s">
        <v>987</v>
      </c>
      <c r="L5" t="s">
        <v>1638</v>
      </c>
      <c r="M5" t="s">
        <v>1793</v>
      </c>
      <c r="Z5" t="s">
        <v>2168</v>
      </c>
      <c r="AA5" t="s">
        <v>2168</v>
      </c>
      <c r="AB5" t="s">
        <v>2168</v>
      </c>
    </row>
    <row r="6" spans="1:34" x14ac:dyDescent="0.3">
      <c r="A6" s="1">
        <v>5</v>
      </c>
      <c r="B6" s="2" t="s">
        <v>37</v>
      </c>
      <c r="C6" t="s">
        <v>210</v>
      </c>
      <c r="D6">
        <v>2019</v>
      </c>
      <c r="E6">
        <v>35</v>
      </c>
      <c r="F6">
        <v>3</v>
      </c>
      <c r="G6" t="s">
        <v>561</v>
      </c>
      <c r="H6" t="s">
        <v>566</v>
      </c>
      <c r="I6" t="s">
        <v>888</v>
      </c>
      <c r="J6" t="s">
        <v>1195</v>
      </c>
      <c r="K6" t="s">
        <v>1427</v>
      </c>
      <c r="L6" t="s">
        <v>1639</v>
      </c>
      <c r="M6" t="s">
        <v>1794</v>
      </c>
      <c r="Z6" t="s">
        <v>2168</v>
      </c>
      <c r="AA6" t="s">
        <v>2166</v>
      </c>
      <c r="AB6" t="s">
        <v>2166</v>
      </c>
    </row>
    <row r="7" spans="1:34" x14ac:dyDescent="0.3">
      <c r="A7" s="1">
        <v>6</v>
      </c>
      <c r="B7" s="2" t="s">
        <v>38</v>
      </c>
      <c r="C7" t="s">
        <v>211</v>
      </c>
      <c r="D7">
        <v>2016</v>
      </c>
      <c r="E7">
        <v>33</v>
      </c>
      <c r="F7">
        <v>3</v>
      </c>
      <c r="G7" t="s">
        <v>561</v>
      </c>
      <c r="H7" t="s">
        <v>567</v>
      </c>
      <c r="I7" t="s">
        <v>889</v>
      </c>
      <c r="J7" t="s">
        <v>1196</v>
      </c>
      <c r="K7" t="s">
        <v>1428</v>
      </c>
      <c r="L7" t="s">
        <v>1640</v>
      </c>
      <c r="M7" t="s">
        <v>1795</v>
      </c>
      <c r="Z7" t="s">
        <v>2168</v>
      </c>
      <c r="AA7" t="s">
        <v>2168</v>
      </c>
      <c r="AB7" t="s">
        <v>2168</v>
      </c>
    </row>
    <row r="8" spans="1:34" x14ac:dyDescent="0.3">
      <c r="A8" s="1">
        <v>7</v>
      </c>
      <c r="B8" s="2" t="s">
        <v>39</v>
      </c>
      <c r="C8" t="s">
        <v>212</v>
      </c>
      <c r="D8">
        <v>2015</v>
      </c>
      <c r="E8">
        <v>28</v>
      </c>
      <c r="F8">
        <v>1</v>
      </c>
      <c r="G8" t="s">
        <v>561</v>
      </c>
      <c r="H8" t="s">
        <v>568</v>
      </c>
      <c r="I8" t="s">
        <v>890</v>
      </c>
      <c r="Z8" t="s">
        <v>2168</v>
      </c>
    </row>
    <row r="9" spans="1:34" x14ac:dyDescent="0.3">
      <c r="A9" s="1">
        <v>8</v>
      </c>
      <c r="B9" s="2" t="s">
        <v>40</v>
      </c>
      <c r="C9" t="s">
        <v>213</v>
      </c>
      <c r="D9">
        <v>2018</v>
      </c>
      <c r="E9">
        <v>26</v>
      </c>
      <c r="F9">
        <v>3</v>
      </c>
      <c r="G9" t="s">
        <v>561</v>
      </c>
      <c r="H9" t="s">
        <v>569</v>
      </c>
      <c r="I9" t="s">
        <v>891</v>
      </c>
      <c r="J9" t="s">
        <v>1197</v>
      </c>
      <c r="K9" t="s">
        <v>1429</v>
      </c>
      <c r="L9" t="s">
        <v>1641</v>
      </c>
      <c r="M9" t="s">
        <v>1796</v>
      </c>
      <c r="Z9" t="s">
        <v>2166</v>
      </c>
      <c r="AA9" t="s">
        <v>2166</v>
      </c>
      <c r="AB9" t="s">
        <v>2168</v>
      </c>
    </row>
    <row r="10" spans="1:34" x14ac:dyDescent="0.3">
      <c r="A10" s="1">
        <v>9</v>
      </c>
      <c r="B10" s="2" t="s">
        <v>41</v>
      </c>
      <c r="C10" t="s">
        <v>214</v>
      </c>
      <c r="D10">
        <v>2015</v>
      </c>
      <c r="E10">
        <v>25</v>
      </c>
      <c r="F10">
        <v>3</v>
      </c>
      <c r="G10" t="s">
        <v>561</v>
      </c>
      <c r="H10" t="s">
        <v>570</v>
      </c>
      <c r="I10" t="s">
        <v>892</v>
      </c>
      <c r="J10" t="s">
        <v>1198</v>
      </c>
      <c r="K10" t="s">
        <v>1430</v>
      </c>
      <c r="L10" t="s">
        <v>1642</v>
      </c>
      <c r="M10" t="s">
        <v>1797</v>
      </c>
      <c r="Z10" t="s">
        <v>2168</v>
      </c>
      <c r="AA10" t="s">
        <v>2166</v>
      </c>
      <c r="AB10" t="s">
        <v>2166</v>
      </c>
    </row>
    <row r="11" spans="1:34" x14ac:dyDescent="0.3">
      <c r="A11" s="1">
        <v>10</v>
      </c>
      <c r="B11" s="2" t="s">
        <v>42</v>
      </c>
      <c r="C11" t="s">
        <v>215</v>
      </c>
      <c r="D11">
        <v>2017</v>
      </c>
      <c r="E11">
        <v>25</v>
      </c>
      <c r="F11">
        <v>1</v>
      </c>
      <c r="G11" t="s">
        <v>561</v>
      </c>
      <c r="H11" t="s">
        <v>571</v>
      </c>
      <c r="I11" t="s">
        <v>893</v>
      </c>
      <c r="Z11" t="s">
        <v>2166</v>
      </c>
    </row>
    <row r="12" spans="1:34" x14ac:dyDescent="0.3">
      <c r="A12" s="1">
        <v>11</v>
      </c>
      <c r="B12" s="2" t="s">
        <v>43</v>
      </c>
      <c r="C12" t="s">
        <v>216</v>
      </c>
      <c r="D12">
        <v>2018</v>
      </c>
      <c r="E12">
        <v>25</v>
      </c>
      <c r="F12">
        <v>4</v>
      </c>
      <c r="G12" t="s">
        <v>561</v>
      </c>
      <c r="H12" t="s">
        <v>572</v>
      </c>
      <c r="I12" t="s">
        <v>894</v>
      </c>
      <c r="J12" t="s">
        <v>1199</v>
      </c>
      <c r="K12" t="s">
        <v>1431</v>
      </c>
      <c r="L12" t="s">
        <v>1643</v>
      </c>
      <c r="M12" t="s">
        <v>1798</v>
      </c>
      <c r="N12" t="s">
        <v>1937</v>
      </c>
      <c r="O12" t="s">
        <v>1997</v>
      </c>
      <c r="Z12" t="s">
        <v>2166</v>
      </c>
      <c r="AA12" t="s">
        <v>2166</v>
      </c>
      <c r="AB12" t="s">
        <v>2166</v>
      </c>
      <c r="AC12" t="s">
        <v>2168</v>
      </c>
    </row>
    <row r="13" spans="1:34" x14ac:dyDescent="0.3">
      <c r="A13" s="1">
        <v>12</v>
      </c>
      <c r="B13" s="2" t="s">
        <v>44</v>
      </c>
      <c r="C13" t="s">
        <v>217</v>
      </c>
      <c r="D13">
        <v>2016</v>
      </c>
      <c r="E13">
        <v>24</v>
      </c>
      <c r="F13">
        <v>3</v>
      </c>
      <c r="G13" t="s">
        <v>561</v>
      </c>
      <c r="H13" t="s">
        <v>573</v>
      </c>
      <c r="I13" t="s">
        <v>895</v>
      </c>
      <c r="J13" t="s">
        <v>1200</v>
      </c>
      <c r="K13" t="s">
        <v>1432</v>
      </c>
      <c r="L13" t="s">
        <v>1644</v>
      </c>
      <c r="M13" t="s">
        <v>1799</v>
      </c>
      <c r="Z13" t="s">
        <v>2166</v>
      </c>
      <c r="AA13" t="s">
        <v>2166</v>
      </c>
      <c r="AB13" t="s">
        <v>2168</v>
      </c>
    </row>
    <row r="14" spans="1:34" x14ac:dyDescent="0.3">
      <c r="A14" s="1">
        <v>13</v>
      </c>
      <c r="B14" s="2" t="s">
        <v>45</v>
      </c>
      <c r="C14" t="s">
        <v>218</v>
      </c>
      <c r="D14">
        <v>2020</v>
      </c>
      <c r="E14">
        <v>24</v>
      </c>
      <c r="F14">
        <v>4</v>
      </c>
      <c r="G14" t="s">
        <v>561</v>
      </c>
      <c r="H14" t="s">
        <v>574</v>
      </c>
      <c r="I14" t="s">
        <v>896</v>
      </c>
      <c r="J14" t="s">
        <v>1201</v>
      </c>
      <c r="K14" t="s">
        <v>1433</v>
      </c>
      <c r="L14" t="s">
        <v>1645</v>
      </c>
      <c r="M14" t="s">
        <v>1800</v>
      </c>
      <c r="N14" t="s">
        <v>1669</v>
      </c>
      <c r="O14" t="s">
        <v>1822</v>
      </c>
      <c r="Z14" t="s">
        <v>2168</v>
      </c>
      <c r="AA14" t="s">
        <v>2167</v>
      </c>
      <c r="AB14" t="s">
        <v>2168</v>
      </c>
      <c r="AC14" t="s">
        <v>2168</v>
      </c>
    </row>
    <row r="15" spans="1:34" x14ac:dyDescent="0.3">
      <c r="A15" s="1">
        <v>15</v>
      </c>
      <c r="B15" s="2" t="s">
        <v>46</v>
      </c>
      <c r="C15" t="s">
        <v>219</v>
      </c>
      <c r="D15">
        <v>2019</v>
      </c>
      <c r="E15">
        <v>23</v>
      </c>
      <c r="F15">
        <v>9</v>
      </c>
      <c r="G15" t="s">
        <v>561</v>
      </c>
      <c r="H15" t="s">
        <v>575</v>
      </c>
      <c r="I15" t="s">
        <v>897</v>
      </c>
      <c r="J15" t="s">
        <v>1202</v>
      </c>
      <c r="K15" t="s">
        <v>1434</v>
      </c>
      <c r="L15" t="s">
        <v>1646</v>
      </c>
      <c r="M15" t="s">
        <v>1801</v>
      </c>
      <c r="N15" t="s">
        <v>610</v>
      </c>
      <c r="O15" t="s">
        <v>932</v>
      </c>
      <c r="P15" t="s">
        <v>612</v>
      </c>
      <c r="Q15" t="s">
        <v>934</v>
      </c>
      <c r="R15" t="s">
        <v>2104</v>
      </c>
      <c r="S15" t="s">
        <v>2122</v>
      </c>
      <c r="T15" t="s">
        <v>2135</v>
      </c>
      <c r="U15" t="s">
        <v>2143</v>
      </c>
      <c r="V15" t="s">
        <v>2150</v>
      </c>
      <c r="W15" t="s">
        <v>2154</v>
      </c>
      <c r="X15" t="s">
        <v>2158</v>
      </c>
      <c r="Y15" t="s">
        <v>2162</v>
      </c>
      <c r="Z15" t="s">
        <v>2166</v>
      </c>
      <c r="AA15" t="s">
        <v>2166</v>
      </c>
      <c r="AB15" t="s">
        <v>2166</v>
      </c>
      <c r="AC15" t="s">
        <v>2166</v>
      </c>
      <c r="AD15" t="s">
        <v>2168</v>
      </c>
      <c r="AE15" t="s">
        <v>2167</v>
      </c>
      <c r="AF15" t="s">
        <v>2168</v>
      </c>
      <c r="AG15" t="s">
        <v>2166</v>
      </c>
      <c r="AH15" t="s">
        <v>2166</v>
      </c>
    </row>
    <row r="16" spans="1:34" x14ac:dyDescent="0.3">
      <c r="A16" s="1">
        <v>16</v>
      </c>
      <c r="B16" s="2" t="s">
        <v>47</v>
      </c>
      <c r="C16" t="s">
        <v>220</v>
      </c>
      <c r="D16">
        <v>2017</v>
      </c>
      <c r="E16">
        <v>23</v>
      </c>
      <c r="F16">
        <v>1</v>
      </c>
      <c r="G16" t="s">
        <v>561</v>
      </c>
      <c r="H16" t="s">
        <v>576</v>
      </c>
      <c r="I16" t="s">
        <v>898</v>
      </c>
      <c r="Z16" t="s">
        <v>2166</v>
      </c>
    </row>
    <row r="17" spans="1:30" x14ac:dyDescent="0.3">
      <c r="A17" s="1">
        <v>17</v>
      </c>
      <c r="B17" s="2" t="s">
        <v>48</v>
      </c>
      <c r="C17" t="s">
        <v>221</v>
      </c>
      <c r="D17">
        <v>2019</v>
      </c>
      <c r="E17">
        <v>21</v>
      </c>
      <c r="F17">
        <v>1</v>
      </c>
      <c r="G17" t="s">
        <v>561</v>
      </c>
      <c r="H17" t="s">
        <v>577</v>
      </c>
      <c r="I17" t="s">
        <v>899</v>
      </c>
      <c r="Z17" t="s">
        <v>2166</v>
      </c>
    </row>
    <row r="18" spans="1:30" x14ac:dyDescent="0.3">
      <c r="A18" s="1">
        <v>18</v>
      </c>
      <c r="B18" s="2" t="s">
        <v>49</v>
      </c>
      <c r="C18" t="s">
        <v>222</v>
      </c>
      <c r="D18">
        <v>2016</v>
      </c>
      <c r="E18">
        <v>20</v>
      </c>
      <c r="F18">
        <v>4</v>
      </c>
      <c r="G18" t="s">
        <v>561</v>
      </c>
      <c r="H18" t="s">
        <v>566</v>
      </c>
      <c r="I18" t="s">
        <v>888</v>
      </c>
      <c r="J18" t="s">
        <v>1195</v>
      </c>
      <c r="K18" t="s">
        <v>1427</v>
      </c>
      <c r="L18" t="s">
        <v>1647</v>
      </c>
      <c r="M18" t="s">
        <v>1802</v>
      </c>
      <c r="N18" t="s">
        <v>568</v>
      </c>
      <c r="O18" t="s">
        <v>890</v>
      </c>
      <c r="Z18" t="s">
        <v>2168</v>
      </c>
      <c r="AA18" t="s">
        <v>2166</v>
      </c>
      <c r="AB18" t="s">
        <v>2168</v>
      </c>
      <c r="AC18" t="s">
        <v>2168</v>
      </c>
    </row>
    <row r="19" spans="1:30" x14ac:dyDescent="0.3">
      <c r="A19" s="1">
        <v>19</v>
      </c>
      <c r="B19" s="2" t="s">
        <v>50</v>
      </c>
      <c r="C19" t="s">
        <v>223</v>
      </c>
      <c r="D19">
        <v>2017</v>
      </c>
      <c r="E19">
        <v>18</v>
      </c>
      <c r="F19">
        <v>3</v>
      </c>
      <c r="G19" t="s">
        <v>561</v>
      </c>
      <c r="H19" t="s">
        <v>578</v>
      </c>
      <c r="I19" t="s">
        <v>900</v>
      </c>
      <c r="J19" t="s">
        <v>1203</v>
      </c>
      <c r="K19" t="s">
        <v>1435</v>
      </c>
      <c r="L19" t="s">
        <v>1648</v>
      </c>
      <c r="M19" t="s">
        <v>1803</v>
      </c>
      <c r="Z19" t="s">
        <v>2166</v>
      </c>
      <c r="AA19" t="s">
        <v>2167</v>
      </c>
      <c r="AB19" t="s">
        <v>2166</v>
      </c>
    </row>
    <row r="20" spans="1:30" x14ac:dyDescent="0.3">
      <c r="A20" s="1">
        <v>24</v>
      </c>
      <c r="B20" s="2" t="s">
        <v>51</v>
      </c>
      <c r="C20" t="s">
        <v>224</v>
      </c>
      <c r="D20">
        <v>2016</v>
      </c>
      <c r="E20">
        <v>17</v>
      </c>
      <c r="F20">
        <v>4</v>
      </c>
      <c r="G20" t="s">
        <v>561</v>
      </c>
      <c r="H20" t="s">
        <v>566</v>
      </c>
      <c r="I20" t="s">
        <v>888</v>
      </c>
      <c r="J20" t="s">
        <v>1204</v>
      </c>
      <c r="K20" t="s">
        <v>1436</v>
      </c>
      <c r="L20" t="s">
        <v>1649</v>
      </c>
      <c r="M20" t="s">
        <v>1804</v>
      </c>
      <c r="N20" t="s">
        <v>1195</v>
      </c>
      <c r="O20" t="s">
        <v>1427</v>
      </c>
      <c r="Z20" t="s">
        <v>2168</v>
      </c>
      <c r="AA20" t="s">
        <v>2168</v>
      </c>
      <c r="AB20" t="s">
        <v>2166</v>
      </c>
      <c r="AC20" t="s">
        <v>2166</v>
      </c>
    </row>
    <row r="21" spans="1:30" x14ac:dyDescent="0.3">
      <c r="A21" s="1">
        <v>26</v>
      </c>
      <c r="B21" s="2" t="s">
        <v>52</v>
      </c>
      <c r="C21" t="s">
        <v>225</v>
      </c>
      <c r="D21">
        <v>2018</v>
      </c>
      <c r="E21">
        <v>16</v>
      </c>
      <c r="F21">
        <v>2</v>
      </c>
      <c r="G21" t="s">
        <v>561</v>
      </c>
      <c r="H21" t="s">
        <v>579</v>
      </c>
      <c r="I21" t="s">
        <v>901</v>
      </c>
      <c r="J21" t="s">
        <v>1205</v>
      </c>
      <c r="K21" t="s">
        <v>1437</v>
      </c>
      <c r="Z21" t="s">
        <v>2166</v>
      </c>
      <c r="AA21" t="s">
        <v>2166</v>
      </c>
    </row>
    <row r="22" spans="1:30" x14ac:dyDescent="0.3">
      <c r="A22" s="1">
        <v>28</v>
      </c>
      <c r="B22" s="2" t="s">
        <v>53</v>
      </c>
      <c r="C22" t="s">
        <v>226</v>
      </c>
      <c r="D22">
        <v>2016</v>
      </c>
      <c r="E22">
        <v>15</v>
      </c>
      <c r="F22">
        <v>2</v>
      </c>
      <c r="G22" t="s">
        <v>561</v>
      </c>
      <c r="H22" t="s">
        <v>580</v>
      </c>
      <c r="I22" t="s">
        <v>902</v>
      </c>
      <c r="J22" t="s">
        <v>1206</v>
      </c>
      <c r="K22" t="s">
        <v>1438</v>
      </c>
      <c r="Z22" t="s">
        <v>2166</v>
      </c>
      <c r="AA22" t="s">
        <v>2168</v>
      </c>
    </row>
    <row r="23" spans="1:30" x14ac:dyDescent="0.3">
      <c r="A23" s="1">
        <v>30</v>
      </c>
      <c r="B23" s="2" t="s">
        <v>54</v>
      </c>
      <c r="C23" t="s">
        <v>227</v>
      </c>
      <c r="D23">
        <v>2016</v>
      </c>
      <c r="E23">
        <v>14</v>
      </c>
      <c r="F23">
        <v>3</v>
      </c>
      <c r="G23" t="s">
        <v>561</v>
      </c>
      <c r="H23" t="s">
        <v>581</v>
      </c>
      <c r="I23" t="s">
        <v>903</v>
      </c>
      <c r="J23" t="s">
        <v>1207</v>
      </c>
      <c r="K23" t="s">
        <v>1439</v>
      </c>
      <c r="L23" t="s">
        <v>1650</v>
      </c>
      <c r="M23" t="s">
        <v>1139</v>
      </c>
      <c r="Z23" t="s">
        <v>2166</v>
      </c>
      <c r="AA23" t="s">
        <v>2166</v>
      </c>
      <c r="AB23" t="s">
        <v>2166</v>
      </c>
    </row>
    <row r="24" spans="1:30" x14ac:dyDescent="0.3">
      <c r="A24" s="1">
        <v>31</v>
      </c>
      <c r="B24" s="2" t="s">
        <v>55</v>
      </c>
      <c r="C24" t="s">
        <v>228</v>
      </c>
      <c r="D24">
        <v>2018</v>
      </c>
      <c r="E24">
        <v>14</v>
      </c>
      <c r="F24">
        <v>3</v>
      </c>
      <c r="G24" t="s">
        <v>561</v>
      </c>
      <c r="H24" t="s">
        <v>582</v>
      </c>
      <c r="I24" t="s">
        <v>904</v>
      </c>
      <c r="J24" t="s">
        <v>1208</v>
      </c>
      <c r="K24" t="s">
        <v>1440</v>
      </c>
      <c r="L24" t="s">
        <v>1651</v>
      </c>
      <c r="M24" t="s">
        <v>1805</v>
      </c>
      <c r="Z24" t="s">
        <v>2166</v>
      </c>
      <c r="AA24" t="s">
        <v>2168</v>
      </c>
      <c r="AB24" t="s">
        <v>2168</v>
      </c>
    </row>
    <row r="25" spans="1:30" x14ac:dyDescent="0.3">
      <c r="A25" s="1">
        <v>32</v>
      </c>
      <c r="B25" s="2" t="s">
        <v>56</v>
      </c>
      <c r="C25" t="s">
        <v>229</v>
      </c>
      <c r="D25">
        <v>2018</v>
      </c>
      <c r="E25">
        <v>14</v>
      </c>
      <c r="F25">
        <v>1</v>
      </c>
      <c r="G25" t="s">
        <v>561</v>
      </c>
      <c r="H25" t="s">
        <v>583</v>
      </c>
      <c r="I25" t="s">
        <v>905</v>
      </c>
      <c r="Z25" t="s">
        <v>2168</v>
      </c>
    </row>
    <row r="26" spans="1:30" x14ac:dyDescent="0.3">
      <c r="A26" s="1">
        <v>33</v>
      </c>
      <c r="B26" s="2" t="s">
        <v>57</v>
      </c>
      <c r="C26" t="s">
        <v>230</v>
      </c>
      <c r="D26">
        <v>2019</v>
      </c>
      <c r="E26">
        <v>14</v>
      </c>
      <c r="F26">
        <v>1</v>
      </c>
      <c r="G26" t="s">
        <v>561</v>
      </c>
      <c r="H26" t="s">
        <v>584</v>
      </c>
      <c r="I26" t="s">
        <v>906</v>
      </c>
      <c r="Z26" t="s">
        <v>2166</v>
      </c>
    </row>
    <row r="27" spans="1:30" x14ac:dyDescent="0.3">
      <c r="A27" s="1">
        <v>34</v>
      </c>
      <c r="B27" s="2" t="s">
        <v>58</v>
      </c>
      <c r="C27" t="s">
        <v>231</v>
      </c>
      <c r="D27">
        <v>2020</v>
      </c>
      <c r="E27">
        <v>14</v>
      </c>
      <c r="F27">
        <v>2</v>
      </c>
      <c r="G27" t="s">
        <v>561</v>
      </c>
      <c r="H27" t="s">
        <v>585</v>
      </c>
      <c r="I27" t="s">
        <v>907</v>
      </c>
      <c r="J27" t="s">
        <v>1209</v>
      </c>
      <c r="K27" t="s">
        <v>1441</v>
      </c>
      <c r="Z27" t="s">
        <v>2166</v>
      </c>
      <c r="AA27" t="s">
        <v>2168</v>
      </c>
    </row>
    <row r="28" spans="1:30" x14ac:dyDescent="0.3">
      <c r="A28" s="1">
        <v>36</v>
      </c>
      <c r="B28" s="2" t="s">
        <v>59</v>
      </c>
      <c r="C28" t="s">
        <v>232</v>
      </c>
      <c r="D28">
        <v>2016</v>
      </c>
      <c r="E28">
        <v>13</v>
      </c>
      <c r="F28">
        <v>4</v>
      </c>
      <c r="G28" t="s">
        <v>561</v>
      </c>
      <c r="H28" t="s">
        <v>586</v>
      </c>
      <c r="I28" t="s">
        <v>908</v>
      </c>
      <c r="J28" t="s">
        <v>1210</v>
      </c>
      <c r="K28" t="s">
        <v>1442</v>
      </c>
      <c r="L28" t="s">
        <v>1652</v>
      </c>
      <c r="M28" t="s">
        <v>1806</v>
      </c>
      <c r="N28" t="s">
        <v>1938</v>
      </c>
      <c r="O28" t="s">
        <v>1998</v>
      </c>
      <c r="Z28" t="s">
        <v>2167</v>
      </c>
      <c r="AA28" t="s">
        <v>2168</v>
      </c>
      <c r="AB28" t="s">
        <v>2166</v>
      </c>
      <c r="AC28" t="s">
        <v>2166</v>
      </c>
    </row>
    <row r="29" spans="1:30" x14ac:dyDescent="0.3">
      <c r="A29" s="1">
        <v>37</v>
      </c>
      <c r="B29" s="2" t="s">
        <v>60</v>
      </c>
      <c r="C29" t="s">
        <v>233</v>
      </c>
      <c r="D29">
        <v>2016</v>
      </c>
      <c r="E29">
        <v>13</v>
      </c>
      <c r="F29">
        <v>5</v>
      </c>
      <c r="G29" t="s">
        <v>561</v>
      </c>
      <c r="H29" t="s">
        <v>587</v>
      </c>
      <c r="I29" t="s">
        <v>909</v>
      </c>
      <c r="J29" t="s">
        <v>1211</v>
      </c>
      <c r="K29" t="s">
        <v>1443</v>
      </c>
      <c r="L29" t="s">
        <v>1653</v>
      </c>
      <c r="M29" t="s">
        <v>1807</v>
      </c>
      <c r="N29" t="s">
        <v>1939</v>
      </c>
      <c r="O29" t="s">
        <v>1999</v>
      </c>
      <c r="P29" t="s">
        <v>2053</v>
      </c>
      <c r="Q29" t="s">
        <v>2081</v>
      </c>
      <c r="Z29" t="s">
        <v>2168</v>
      </c>
      <c r="AA29" t="s">
        <v>2168</v>
      </c>
      <c r="AB29" t="s">
        <v>2168</v>
      </c>
      <c r="AC29" t="s">
        <v>2168</v>
      </c>
      <c r="AD29" t="s">
        <v>2167</v>
      </c>
    </row>
    <row r="30" spans="1:30" x14ac:dyDescent="0.3">
      <c r="A30" s="1">
        <v>38</v>
      </c>
      <c r="B30" s="2" t="s">
        <v>61</v>
      </c>
      <c r="C30" t="s">
        <v>234</v>
      </c>
      <c r="D30">
        <v>2017</v>
      </c>
      <c r="E30">
        <v>13</v>
      </c>
      <c r="F30">
        <v>3</v>
      </c>
      <c r="G30" t="s">
        <v>561</v>
      </c>
      <c r="H30" t="s">
        <v>588</v>
      </c>
      <c r="I30" t="s">
        <v>910</v>
      </c>
      <c r="J30" t="s">
        <v>1212</v>
      </c>
      <c r="K30" t="s">
        <v>1444</v>
      </c>
      <c r="L30" t="s">
        <v>1654</v>
      </c>
      <c r="M30" t="s">
        <v>1808</v>
      </c>
      <c r="Z30" t="s">
        <v>2168</v>
      </c>
      <c r="AA30" t="s">
        <v>2166</v>
      </c>
      <c r="AB30" t="s">
        <v>2168</v>
      </c>
    </row>
    <row r="31" spans="1:30" x14ac:dyDescent="0.3">
      <c r="A31" s="1">
        <v>39</v>
      </c>
      <c r="B31" s="2" t="s">
        <v>62</v>
      </c>
      <c r="C31" t="s">
        <v>235</v>
      </c>
      <c r="D31">
        <v>2017</v>
      </c>
      <c r="E31">
        <v>13</v>
      </c>
      <c r="F31">
        <v>2</v>
      </c>
      <c r="G31" t="s">
        <v>561</v>
      </c>
      <c r="H31" t="s">
        <v>589</v>
      </c>
      <c r="I31" t="s">
        <v>911</v>
      </c>
      <c r="J31" t="s">
        <v>1213</v>
      </c>
      <c r="K31" t="s">
        <v>1445</v>
      </c>
      <c r="Z31" t="s">
        <v>2166</v>
      </c>
      <c r="AA31" t="s">
        <v>2166</v>
      </c>
    </row>
    <row r="32" spans="1:30" x14ac:dyDescent="0.3">
      <c r="A32" s="1">
        <v>42</v>
      </c>
      <c r="B32" s="2" t="s">
        <v>63</v>
      </c>
      <c r="C32" t="s">
        <v>236</v>
      </c>
      <c r="D32">
        <v>2015</v>
      </c>
      <c r="E32">
        <v>11</v>
      </c>
      <c r="F32">
        <v>1</v>
      </c>
      <c r="G32" t="s">
        <v>561</v>
      </c>
      <c r="H32" t="s">
        <v>590</v>
      </c>
      <c r="I32" t="s">
        <v>912</v>
      </c>
      <c r="Z32" t="s">
        <v>2166</v>
      </c>
    </row>
    <row r="33" spans="1:29" x14ac:dyDescent="0.3">
      <c r="A33" s="1">
        <v>43</v>
      </c>
      <c r="B33" s="2" t="s">
        <v>64</v>
      </c>
      <c r="C33" t="s">
        <v>237</v>
      </c>
      <c r="D33">
        <v>2016</v>
      </c>
      <c r="E33">
        <v>11</v>
      </c>
      <c r="F33">
        <v>2</v>
      </c>
      <c r="G33" t="s">
        <v>561</v>
      </c>
      <c r="H33" t="s">
        <v>591</v>
      </c>
      <c r="I33" t="s">
        <v>913</v>
      </c>
      <c r="J33" t="s">
        <v>1214</v>
      </c>
      <c r="K33" t="s">
        <v>1446</v>
      </c>
      <c r="Z33" t="s">
        <v>2166</v>
      </c>
      <c r="AA33" t="s">
        <v>2168</v>
      </c>
    </row>
    <row r="34" spans="1:29" x14ac:dyDescent="0.3">
      <c r="A34" s="1">
        <v>44</v>
      </c>
      <c r="B34" s="2" t="s">
        <v>65</v>
      </c>
      <c r="C34" t="s">
        <v>238</v>
      </c>
      <c r="D34">
        <v>2019</v>
      </c>
      <c r="E34">
        <v>11</v>
      </c>
      <c r="F34">
        <v>2</v>
      </c>
      <c r="G34" t="s">
        <v>561</v>
      </c>
      <c r="H34" t="s">
        <v>592</v>
      </c>
      <c r="I34" t="s">
        <v>914</v>
      </c>
      <c r="J34" t="s">
        <v>1215</v>
      </c>
      <c r="K34" t="s">
        <v>1447</v>
      </c>
      <c r="Z34" t="s">
        <v>2166</v>
      </c>
      <c r="AA34" t="s">
        <v>2166</v>
      </c>
    </row>
    <row r="35" spans="1:29" x14ac:dyDescent="0.3">
      <c r="A35" s="1">
        <v>47</v>
      </c>
      <c r="B35" s="2" t="s">
        <v>66</v>
      </c>
      <c r="C35" t="s">
        <v>239</v>
      </c>
      <c r="D35">
        <v>2016</v>
      </c>
      <c r="E35">
        <v>10</v>
      </c>
      <c r="F35">
        <v>2</v>
      </c>
      <c r="G35" t="s">
        <v>561</v>
      </c>
      <c r="H35" t="s">
        <v>593</v>
      </c>
      <c r="I35" t="s">
        <v>915</v>
      </c>
      <c r="J35" t="s">
        <v>595</v>
      </c>
      <c r="K35" t="s">
        <v>917</v>
      </c>
      <c r="Z35" t="s">
        <v>2168</v>
      </c>
      <c r="AA35" t="s">
        <v>2166</v>
      </c>
    </row>
    <row r="36" spans="1:29" x14ac:dyDescent="0.3">
      <c r="A36" s="1">
        <v>48</v>
      </c>
      <c r="B36" s="2" t="s">
        <v>67</v>
      </c>
      <c r="C36" t="s">
        <v>240</v>
      </c>
      <c r="D36">
        <v>2016</v>
      </c>
      <c r="E36">
        <v>10</v>
      </c>
      <c r="F36">
        <v>1</v>
      </c>
      <c r="G36" t="s">
        <v>561</v>
      </c>
      <c r="H36" t="s">
        <v>594</v>
      </c>
      <c r="I36" t="s">
        <v>916</v>
      </c>
      <c r="Z36" t="s">
        <v>2168</v>
      </c>
    </row>
    <row r="37" spans="1:29" x14ac:dyDescent="0.3">
      <c r="A37" s="1">
        <v>49</v>
      </c>
      <c r="B37" s="2" t="s">
        <v>68</v>
      </c>
      <c r="C37" t="s">
        <v>241</v>
      </c>
      <c r="D37">
        <v>2015</v>
      </c>
      <c r="E37">
        <v>10</v>
      </c>
      <c r="F37">
        <v>3</v>
      </c>
      <c r="G37" t="s">
        <v>561</v>
      </c>
      <c r="H37" t="s">
        <v>595</v>
      </c>
      <c r="I37" t="s">
        <v>917</v>
      </c>
      <c r="J37" t="s">
        <v>593</v>
      </c>
      <c r="K37" t="s">
        <v>915</v>
      </c>
      <c r="L37" t="s">
        <v>1655</v>
      </c>
      <c r="M37" t="s">
        <v>1809</v>
      </c>
      <c r="Z37" t="s">
        <v>2166</v>
      </c>
      <c r="AA37" t="s">
        <v>2168</v>
      </c>
      <c r="AB37" t="s">
        <v>2168</v>
      </c>
    </row>
    <row r="38" spans="1:29" x14ac:dyDescent="0.3">
      <c r="A38" s="1">
        <v>52</v>
      </c>
      <c r="B38" s="2" t="s">
        <v>69</v>
      </c>
      <c r="C38" t="s">
        <v>242</v>
      </c>
      <c r="D38">
        <v>2016</v>
      </c>
      <c r="E38">
        <v>9</v>
      </c>
      <c r="F38">
        <v>4</v>
      </c>
      <c r="G38" t="s">
        <v>561</v>
      </c>
      <c r="H38" t="s">
        <v>596</v>
      </c>
      <c r="I38" t="s">
        <v>918</v>
      </c>
      <c r="J38" t="s">
        <v>1216</v>
      </c>
      <c r="K38" t="s">
        <v>1448</v>
      </c>
      <c r="L38" t="s">
        <v>1656</v>
      </c>
      <c r="M38" t="s">
        <v>1810</v>
      </c>
      <c r="N38" t="s">
        <v>1940</v>
      </c>
      <c r="O38" t="s">
        <v>2000</v>
      </c>
      <c r="Z38" t="s">
        <v>2168</v>
      </c>
      <c r="AA38" t="s">
        <v>2167</v>
      </c>
      <c r="AB38" t="s">
        <v>2166</v>
      </c>
      <c r="AC38" t="s">
        <v>2168</v>
      </c>
    </row>
    <row r="39" spans="1:29" x14ac:dyDescent="0.3">
      <c r="A39" s="1">
        <v>53</v>
      </c>
      <c r="B39" s="2" t="s">
        <v>70</v>
      </c>
      <c r="C39" t="s">
        <v>243</v>
      </c>
      <c r="D39">
        <v>2019</v>
      </c>
      <c r="E39">
        <v>9</v>
      </c>
      <c r="F39">
        <v>2</v>
      </c>
      <c r="G39" t="s">
        <v>561</v>
      </c>
      <c r="H39" t="s">
        <v>597</v>
      </c>
      <c r="I39" t="s">
        <v>919</v>
      </c>
      <c r="J39" t="s">
        <v>1217</v>
      </c>
      <c r="K39" t="s">
        <v>1069</v>
      </c>
      <c r="Z39" t="s">
        <v>2168</v>
      </c>
      <c r="AA39" t="s">
        <v>2167</v>
      </c>
    </row>
    <row r="40" spans="1:29" x14ac:dyDescent="0.3">
      <c r="A40" s="1">
        <v>54</v>
      </c>
      <c r="B40" s="2" t="s">
        <v>71</v>
      </c>
      <c r="C40" t="s">
        <v>244</v>
      </c>
      <c r="D40">
        <v>2019</v>
      </c>
      <c r="E40">
        <v>9</v>
      </c>
      <c r="F40">
        <v>2</v>
      </c>
      <c r="G40" t="s">
        <v>561</v>
      </c>
      <c r="H40" t="s">
        <v>598</v>
      </c>
      <c r="I40" t="s">
        <v>920</v>
      </c>
      <c r="J40" t="s">
        <v>1218</v>
      </c>
      <c r="K40" t="s">
        <v>1449</v>
      </c>
      <c r="Z40" t="s">
        <v>2166</v>
      </c>
      <c r="AA40" t="s">
        <v>2166</v>
      </c>
    </row>
    <row r="41" spans="1:29" x14ac:dyDescent="0.3">
      <c r="A41" s="1">
        <v>55</v>
      </c>
      <c r="B41" s="2" t="s">
        <v>72</v>
      </c>
      <c r="C41" t="s">
        <v>245</v>
      </c>
      <c r="D41">
        <v>2019</v>
      </c>
      <c r="E41">
        <v>9</v>
      </c>
      <c r="F41">
        <v>2</v>
      </c>
      <c r="G41" t="s">
        <v>561</v>
      </c>
      <c r="H41" t="s">
        <v>599</v>
      </c>
      <c r="I41" t="s">
        <v>921</v>
      </c>
      <c r="J41" t="s">
        <v>1219</v>
      </c>
      <c r="K41" t="s">
        <v>1450</v>
      </c>
      <c r="Z41" t="s">
        <v>2168</v>
      </c>
      <c r="AA41" t="s">
        <v>2168</v>
      </c>
    </row>
    <row r="42" spans="1:29" x14ac:dyDescent="0.3">
      <c r="A42" s="1">
        <v>56</v>
      </c>
      <c r="B42" s="2" t="s">
        <v>73</v>
      </c>
      <c r="C42" t="s">
        <v>246</v>
      </c>
      <c r="D42">
        <v>2020</v>
      </c>
      <c r="E42">
        <v>9</v>
      </c>
      <c r="F42">
        <v>4</v>
      </c>
      <c r="G42" t="s">
        <v>561</v>
      </c>
      <c r="H42" t="s">
        <v>600</v>
      </c>
      <c r="I42" t="s">
        <v>922</v>
      </c>
      <c r="J42" t="s">
        <v>698</v>
      </c>
      <c r="K42" t="s">
        <v>1020</v>
      </c>
      <c r="L42" t="s">
        <v>1657</v>
      </c>
      <c r="M42" t="s">
        <v>1811</v>
      </c>
      <c r="N42" t="s">
        <v>1941</v>
      </c>
      <c r="O42" t="s">
        <v>2001</v>
      </c>
      <c r="Z42" t="s">
        <v>2166</v>
      </c>
      <c r="AA42" t="s">
        <v>2166</v>
      </c>
      <c r="AB42" t="s">
        <v>2168</v>
      </c>
      <c r="AC42" t="s">
        <v>2168</v>
      </c>
    </row>
    <row r="43" spans="1:29" x14ac:dyDescent="0.3">
      <c r="A43" s="1">
        <v>57</v>
      </c>
      <c r="B43" s="2" t="s">
        <v>74</v>
      </c>
      <c r="C43" t="s">
        <v>247</v>
      </c>
      <c r="D43">
        <v>2020</v>
      </c>
      <c r="E43">
        <v>9</v>
      </c>
      <c r="F43">
        <v>1</v>
      </c>
      <c r="G43" t="s">
        <v>561</v>
      </c>
      <c r="H43" t="s">
        <v>601</v>
      </c>
      <c r="I43" t="s">
        <v>923</v>
      </c>
      <c r="Z43" t="s">
        <v>2166</v>
      </c>
    </row>
    <row r="44" spans="1:29" x14ac:dyDescent="0.3">
      <c r="A44" s="1">
        <v>61</v>
      </c>
      <c r="B44" s="2" t="s">
        <v>75</v>
      </c>
      <c r="C44" t="s">
        <v>248</v>
      </c>
      <c r="D44">
        <v>2017</v>
      </c>
      <c r="E44">
        <v>8</v>
      </c>
      <c r="F44">
        <v>2</v>
      </c>
      <c r="G44" t="s">
        <v>561</v>
      </c>
      <c r="H44" t="s">
        <v>602</v>
      </c>
      <c r="I44" t="s">
        <v>924</v>
      </c>
      <c r="J44" t="s">
        <v>609</v>
      </c>
      <c r="K44" t="s">
        <v>931</v>
      </c>
      <c r="Z44" t="s">
        <v>2166</v>
      </c>
      <c r="AA44" t="s">
        <v>2166</v>
      </c>
    </row>
    <row r="45" spans="1:29" x14ac:dyDescent="0.3">
      <c r="A45" s="1">
        <v>62</v>
      </c>
      <c r="B45" s="2" t="s">
        <v>76</v>
      </c>
      <c r="C45" t="s">
        <v>249</v>
      </c>
      <c r="D45">
        <v>2019</v>
      </c>
      <c r="E45">
        <v>8</v>
      </c>
      <c r="F45">
        <v>2</v>
      </c>
      <c r="G45" t="s">
        <v>561</v>
      </c>
      <c r="H45" t="s">
        <v>603</v>
      </c>
      <c r="I45" t="s">
        <v>925</v>
      </c>
      <c r="J45" t="s">
        <v>1220</v>
      </c>
      <c r="K45" t="s">
        <v>1451</v>
      </c>
      <c r="Z45" t="s">
        <v>2166</v>
      </c>
      <c r="AA45" t="s">
        <v>2168</v>
      </c>
    </row>
    <row r="46" spans="1:29" x14ac:dyDescent="0.3">
      <c r="A46" s="1">
        <v>63</v>
      </c>
      <c r="B46" s="2" t="s">
        <v>77</v>
      </c>
      <c r="C46" t="s">
        <v>250</v>
      </c>
      <c r="D46">
        <v>2019</v>
      </c>
      <c r="E46">
        <v>8</v>
      </c>
      <c r="F46">
        <v>2</v>
      </c>
      <c r="G46" t="s">
        <v>561</v>
      </c>
      <c r="H46" t="s">
        <v>604</v>
      </c>
      <c r="I46" t="s">
        <v>926</v>
      </c>
      <c r="J46" t="s">
        <v>1221</v>
      </c>
      <c r="K46" t="s">
        <v>1452</v>
      </c>
      <c r="Z46" t="s">
        <v>2168</v>
      </c>
      <c r="AA46" t="s">
        <v>2167</v>
      </c>
    </row>
    <row r="47" spans="1:29" x14ac:dyDescent="0.3">
      <c r="A47" s="1">
        <v>64</v>
      </c>
      <c r="B47" s="2" t="s">
        <v>78</v>
      </c>
      <c r="C47" t="s">
        <v>251</v>
      </c>
      <c r="D47">
        <v>2019</v>
      </c>
      <c r="E47">
        <v>8</v>
      </c>
      <c r="F47">
        <v>1</v>
      </c>
      <c r="G47" t="s">
        <v>561</v>
      </c>
      <c r="H47" t="s">
        <v>605</v>
      </c>
      <c r="I47" t="s">
        <v>927</v>
      </c>
      <c r="Z47" t="s">
        <v>2168</v>
      </c>
    </row>
    <row r="48" spans="1:29" x14ac:dyDescent="0.3">
      <c r="A48" s="1">
        <v>65</v>
      </c>
      <c r="B48" s="2" t="s">
        <v>79</v>
      </c>
      <c r="C48" t="s">
        <v>252</v>
      </c>
      <c r="D48">
        <v>2015</v>
      </c>
      <c r="E48">
        <v>7</v>
      </c>
      <c r="F48">
        <v>2</v>
      </c>
      <c r="G48" t="s">
        <v>561</v>
      </c>
      <c r="H48" t="s">
        <v>606</v>
      </c>
      <c r="I48" t="s">
        <v>928</v>
      </c>
      <c r="J48" t="s">
        <v>1222</v>
      </c>
      <c r="K48" t="s">
        <v>1453</v>
      </c>
      <c r="Z48" t="s">
        <v>2168</v>
      </c>
      <c r="AA48" t="s">
        <v>2166</v>
      </c>
    </row>
    <row r="49" spans="1:32" x14ac:dyDescent="0.3">
      <c r="A49" s="1">
        <v>68</v>
      </c>
      <c r="B49" s="2" t="s">
        <v>80</v>
      </c>
      <c r="C49" t="s">
        <v>253</v>
      </c>
      <c r="D49">
        <v>2016</v>
      </c>
      <c r="E49">
        <v>7</v>
      </c>
      <c r="F49">
        <v>3</v>
      </c>
      <c r="G49" t="s">
        <v>561</v>
      </c>
      <c r="H49" t="s">
        <v>607</v>
      </c>
      <c r="I49" t="s">
        <v>929</v>
      </c>
      <c r="J49" t="s">
        <v>1223</v>
      </c>
      <c r="K49" t="s">
        <v>1454</v>
      </c>
      <c r="L49" t="s">
        <v>1658</v>
      </c>
      <c r="M49" t="s">
        <v>1812</v>
      </c>
      <c r="Z49" t="s">
        <v>2168</v>
      </c>
      <c r="AA49" t="s">
        <v>2166</v>
      </c>
      <c r="AB49" t="s">
        <v>2166</v>
      </c>
    </row>
    <row r="50" spans="1:32" x14ac:dyDescent="0.3">
      <c r="A50" s="1">
        <v>69</v>
      </c>
      <c r="B50" s="2" t="s">
        <v>81</v>
      </c>
      <c r="C50" t="s">
        <v>254</v>
      </c>
      <c r="D50">
        <v>2017</v>
      </c>
      <c r="E50">
        <v>7</v>
      </c>
      <c r="F50">
        <v>1</v>
      </c>
      <c r="G50" t="s">
        <v>561</v>
      </c>
      <c r="H50" t="s">
        <v>579</v>
      </c>
      <c r="I50" t="s">
        <v>901</v>
      </c>
      <c r="Z50" t="s">
        <v>2166</v>
      </c>
    </row>
    <row r="51" spans="1:32" x14ac:dyDescent="0.3">
      <c r="A51" s="1">
        <v>70</v>
      </c>
      <c r="B51" s="2" t="s">
        <v>82</v>
      </c>
      <c r="C51" t="s">
        <v>255</v>
      </c>
      <c r="D51">
        <v>2019</v>
      </c>
      <c r="E51">
        <v>7</v>
      </c>
      <c r="F51">
        <v>6</v>
      </c>
      <c r="G51" t="s">
        <v>561</v>
      </c>
      <c r="H51" t="s">
        <v>608</v>
      </c>
      <c r="I51" t="s">
        <v>930</v>
      </c>
      <c r="J51" t="s">
        <v>881</v>
      </c>
      <c r="K51" t="s">
        <v>1192</v>
      </c>
      <c r="L51" t="s">
        <v>1659</v>
      </c>
      <c r="M51" t="s">
        <v>1813</v>
      </c>
      <c r="N51" t="s">
        <v>1942</v>
      </c>
      <c r="O51" t="s">
        <v>2002</v>
      </c>
      <c r="P51" t="s">
        <v>2054</v>
      </c>
      <c r="Q51" t="s">
        <v>2082</v>
      </c>
      <c r="R51" t="s">
        <v>1423</v>
      </c>
      <c r="S51" t="s">
        <v>1637</v>
      </c>
      <c r="Z51" t="s">
        <v>2166</v>
      </c>
      <c r="AA51" t="s">
        <v>2166</v>
      </c>
      <c r="AB51" t="s">
        <v>2167</v>
      </c>
      <c r="AC51" t="s">
        <v>2166</v>
      </c>
      <c r="AD51" t="s">
        <v>2166</v>
      </c>
      <c r="AE51" t="s">
        <v>2168</v>
      </c>
    </row>
    <row r="52" spans="1:32" x14ac:dyDescent="0.3">
      <c r="A52" s="1">
        <v>71</v>
      </c>
      <c r="B52" s="2" t="s">
        <v>83</v>
      </c>
      <c r="C52" t="s">
        <v>256</v>
      </c>
      <c r="D52">
        <v>2019</v>
      </c>
      <c r="E52">
        <v>7</v>
      </c>
      <c r="F52">
        <v>3</v>
      </c>
      <c r="G52" t="s">
        <v>561</v>
      </c>
      <c r="H52" t="s">
        <v>609</v>
      </c>
      <c r="I52" t="s">
        <v>931</v>
      </c>
      <c r="J52" t="s">
        <v>1224</v>
      </c>
      <c r="K52" t="s">
        <v>1455</v>
      </c>
      <c r="L52" t="s">
        <v>1660</v>
      </c>
      <c r="M52" t="s">
        <v>1814</v>
      </c>
      <c r="Z52" t="s">
        <v>2166</v>
      </c>
      <c r="AA52" t="s">
        <v>2166</v>
      </c>
      <c r="AB52" t="s">
        <v>2166</v>
      </c>
    </row>
    <row r="53" spans="1:32" x14ac:dyDescent="0.3">
      <c r="A53" s="1">
        <v>72</v>
      </c>
      <c r="B53" s="2" t="s">
        <v>84</v>
      </c>
      <c r="C53" t="s">
        <v>257</v>
      </c>
      <c r="D53">
        <v>2019</v>
      </c>
      <c r="E53">
        <v>7</v>
      </c>
      <c r="F53">
        <v>3</v>
      </c>
      <c r="G53" t="s">
        <v>561</v>
      </c>
      <c r="H53" t="s">
        <v>590</v>
      </c>
      <c r="I53" t="s">
        <v>912</v>
      </c>
      <c r="J53" t="s">
        <v>1225</v>
      </c>
      <c r="K53" t="s">
        <v>1456</v>
      </c>
      <c r="L53" t="s">
        <v>1218</v>
      </c>
      <c r="M53" t="s">
        <v>1449</v>
      </c>
      <c r="Z53" t="s">
        <v>2166</v>
      </c>
      <c r="AA53" t="s">
        <v>2166</v>
      </c>
      <c r="AB53" t="s">
        <v>2166</v>
      </c>
    </row>
    <row r="54" spans="1:32" x14ac:dyDescent="0.3">
      <c r="A54" s="1">
        <v>73</v>
      </c>
      <c r="B54" s="2" t="s">
        <v>85</v>
      </c>
      <c r="C54" t="s">
        <v>258</v>
      </c>
      <c r="D54">
        <v>2020</v>
      </c>
      <c r="E54">
        <v>7</v>
      </c>
      <c r="F54">
        <v>1</v>
      </c>
      <c r="G54" t="s">
        <v>561</v>
      </c>
      <c r="H54" t="s">
        <v>575</v>
      </c>
      <c r="I54" t="s">
        <v>897</v>
      </c>
      <c r="Z54" t="s">
        <v>2166</v>
      </c>
    </row>
    <row r="55" spans="1:32" x14ac:dyDescent="0.3">
      <c r="A55" s="1">
        <v>75</v>
      </c>
      <c r="B55" s="2" t="s">
        <v>86</v>
      </c>
      <c r="C55" t="s">
        <v>259</v>
      </c>
      <c r="D55">
        <v>2020</v>
      </c>
      <c r="E55">
        <v>7</v>
      </c>
      <c r="F55">
        <v>7</v>
      </c>
      <c r="G55" t="s">
        <v>561</v>
      </c>
      <c r="H55" t="s">
        <v>610</v>
      </c>
      <c r="I55" t="s">
        <v>932</v>
      </c>
      <c r="J55" t="s">
        <v>1226</v>
      </c>
      <c r="K55" t="s">
        <v>1457</v>
      </c>
      <c r="L55" t="s">
        <v>1661</v>
      </c>
      <c r="M55" t="s">
        <v>1434</v>
      </c>
      <c r="N55" t="s">
        <v>612</v>
      </c>
      <c r="O55" t="s">
        <v>934</v>
      </c>
      <c r="P55" t="s">
        <v>2055</v>
      </c>
      <c r="Q55" t="s">
        <v>2083</v>
      </c>
      <c r="R55" t="s">
        <v>2105</v>
      </c>
      <c r="S55" t="s">
        <v>2123</v>
      </c>
      <c r="T55" t="s">
        <v>1275</v>
      </c>
      <c r="U55" t="s">
        <v>1503</v>
      </c>
      <c r="Z55" t="s">
        <v>2166</v>
      </c>
      <c r="AA55" t="s">
        <v>2166</v>
      </c>
      <c r="AB55" t="s">
        <v>2166</v>
      </c>
      <c r="AC55" t="s">
        <v>2168</v>
      </c>
      <c r="AD55" t="s">
        <v>2166</v>
      </c>
      <c r="AE55" t="s">
        <v>2166</v>
      </c>
      <c r="AF55" t="s">
        <v>2166</v>
      </c>
    </row>
    <row r="56" spans="1:32" x14ac:dyDescent="0.3">
      <c r="A56" s="1">
        <v>76</v>
      </c>
      <c r="B56" s="2" t="s">
        <v>87</v>
      </c>
      <c r="C56" t="s">
        <v>260</v>
      </c>
      <c r="D56">
        <v>2020</v>
      </c>
      <c r="E56">
        <v>7</v>
      </c>
      <c r="F56">
        <v>1</v>
      </c>
      <c r="G56" t="s">
        <v>561</v>
      </c>
      <c r="H56" t="s">
        <v>611</v>
      </c>
      <c r="I56" t="s">
        <v>933</v>
      </c>
      <c r="Z56" t="s">
        <v>2168</v>
      </c>
    </row>
    <row r="57" spans="1:32" x14ac:dyDescent="0.3">
      <c r="A57" s="1">
        <v>77</v>
      </c>
      <c r="B57" s="2" t="s">
        <v>88</v>
      </c>
      <c r="C57" t="s">
        <v>261</v>
      </c>
      <c r="D57">
        <v>2020</v>
      </c>
      <c r="E57">
        <v>7</v>
      </c>
      <c r="F57">
        <v>1</v>
      </c>
      <c r="G57" t="s">
        <v>561</v>
      </c>
      <c r="H57" t="s">
        <v>612</v>
      </c>
      <c r="I57" t="s">
        <v>934</v>
      </c>
      <c r="Z57" t="s">
        <v>2168</v>
      </c>
    </row>
    <row r="58" spans="1:32" x14ac:dyDescent="0.3">
      <c r="A58" s="1">
        <v>78</v>
      </c>
      <c r="B58" s="2" t="s">
        <v>89</v>
      </c>
      <c r="C58" t="s">
        <v>262</v>
      </c>
      <c r="D58">
        <v>2017</v>
      </c>
      <c r="E58">
        <v>7</v>
      </c>
      <c r="F58">
        <v>3</v>
      </c>
      <c r="G58" t="s">
        <v>561</v>
      </c>
      <c r="H58" t="s">
        <v>613</v>
      </c>
      <c r="I58" t="s">
        <v>935</v>
      </c>
      <c r="J58" t="s">
        <v>1227</v>
      </c>
      <c r="K58" t="s">
        <v>1458</v>
      </c>
      <c r="L58" t="s">
        <v>1662</v>
      </c>
      <c r="M58" t="s">
        <v>1815</v>
      </c>
      <c r="Z58" t="s">
        <v>2166</v>
      </c>
      <c r="AA58" t="s">
        <v>2166</v>
      </c>
      <c r="AB58" t="s">
        <v>2166</v>
      </c>
    </row>
    <row r="59" spans="1:32" x14ac:dyDescent="0.3">
      <c r="A59" s="1">
        <v>85</v>
      </c>
      <c r="B59" s="2" t="s">
        <v>90</v>
      </c>
      <c r="C59" t="s">
        <v>263</v>
      </c>
      <c r="D59">
        <v>2016</v>
      </c>
      <c r="E59">
        <v>6</v>
      </c>
      <c r="F59">
        <v>2</v>
      </c>
      <c r="G59" t="s">
        <v>561</v>
      </c>
      <c r="H59" t="s">
        <v>614</v>
      </c>
      <c r="I59" t="s">
        <v>936</v>
      </c>
      <c r="J59" t="s">
        <v>1228</v>
      </c>
      <c r="K59" t="s">
        <v>1459</v>
      </c>
      <c r="Z59" t="s">
        <v>2167</v>
      </c>
      <c r="AA59" t="s">
        <v>2167</v>
      </c>
    </row>
    <row r="60" spans="1:32" x14ac:dyDescent="0.3">
      <c r="A60" s="1">
        <v>86</v>
      </c>
      <c r="B60" s="2" t="s">
        <v>91</v>
      </c>
      <c r="C60" t="s">
        <v>264</v>
      </c>
      <c r="D60">
        <v>2017</v>
      </c>
      <c r="E60">
        <v>6</v>
      </c>
      <c r="F60">
        <v>5</v>
      </c>
      <c r="G60" t="s">
        <v>561</v>
      </c>
      <c r="H60" t="s">
        <v>615</v>
      </c>
      <c r="I60" t="s">
        <v>937</v>
      </c>
      <c r="J60" t="s">
        <v>1229</v>
      </c>
      <c r="K60" t="s">
        <v>1460</v>
      </c>
      <c r="L60" t="s">
        <v>1663</v>
      </c>
      <c r="M60" t="s">
        <v>1816</v>
      </c>
      <c r="N60" t="s">
        <v>1943</v>
      </c>
      <c r="O60" t="s">
        <v>2003</v>
      </c>
      <c r="P60" t="s">
        <v>2056</v>
      </c>
      <c r="Q60" t="s">
        <v>2084</v>
      </c>
      <c r="Z60" t="s">
        <v>2167</v>
      </c>
      <c r="AA60" t="s">
        <v>2166</v>
      </c>
      <c r="AB60" t="s">
        <v>2166</v>
      </c>
      <c r="AC60" t="s">
        <v>2168</v>
      </c>
      <c r="AD60" t="s">
        <v>2168</v>
      </c>
    </row>
    <row r="61" spans="1:32" x14ac:dyDescent="0.3">
      <c r="A61" s="1">
        <v>87</v>
      </c>
      <c r="B61" s="2" t="s">
        <v>92</v>
      </c>
      <c r="C61" t="s">
        <v>265</v>
      </c>
      <c r="D61">
        <v>2017</v>
      </c>
      <c r="E61">
        <v>6</v>
      </c>
      <c r="F61">
        <v>4</v>
      </c>
      <c r="G61" t="s">
        <v>561</v>
      </c>
      <c r="H61" t="s">
        <v>616</v>
      </c>
      <c r="I61" t="s">
        <v>938</v>
      </c>
      <c r="J61" t="s">
        <v>1230</v>
      </c>
      <c r="K61" t="s">
        <v>1461</v>
      </c>
      <c r="L61" t="s">
        <v>1664</v>
      </c>
      <c r="M61" t="s">
        <v>1817</v>
      </c>
      <c r="N61" t="s">
        <v>1944</v>
      </c>
      <c r="O61" t="s">
        <v>2004</v>
      </c>
      <c r="Z61" t="s">
        <v>2166</v>
      </c>
      <c r="AA61" t="s">
        <v>2166</v>
      </c>
      <c r="AB61" t="s">
        <v>2166</v>
      </c>
      <c r="AC61" t="s">
        <v>2168</v>
      </c>
    </row>
    <row r="62" spans="1:32" x14ac:dyDescent="0.3">
      <c r="A62" s="1">
        <v>88</v>
      </c>
      <c r="B62" s="2" t="s">
        <v>93</v>
      </c>
      <c r="C62" t="s">
        <v>266</v>
      </c>
      <c r="D62">
        <v>2017</v>
      </c>
      <c r="E62">
        <v>6</v>
      </c>
      <c r="F62">
        <v>2</v>
      </c>
      <c r="G62" t="s">
        <v>561</v>
      </c>
      <c r="H62" t="s">
        <v>617</v>
      </c>
      <c r="I62" t="s">
        <v>939</v>
      </c>
      <c r="J62" t="s">
        <v>1231</v>
      </c>
      <c r="K62" t="s">
        <v>1462</v>
      </c>
      <c r="Z62" t="s">
        <v>2166</v>
      </c>
      <c r="AA62" t="s">
        <v>2166</v>
      </c>
    </row>
    <row r="63" spans="1:32" x14ac:dyDescent="0.3">
      <c r="A63" s="1">
        <v>89</v>
      </c>
      <c r="B63" s="2" t="s">
        <v>94</v>
      </c>
      <c r="C63" t="s">
        <v>267</v>
      </c>
      <c r="D63">
        <v>2017</v>
      </c>
      <c r="E63">
        <v>6</v>
      </c>
      <c r="F63">
        <v>1</v>
      </c>
      <c r="G63" t="s">
        <v>561</v>
      </c>
      <c r="H63" t="s">
        <v>618</v>
      </c>
      <c r="I63" t="s">
        <v>940</v>
      </c>
      <c r="Z63" t="s">
        <v>2168</v>
      </c>
    </row>
    <row r="64" spans="1:32" x14ac:dyDescent="0.3">
      <c r="A64" s="1">
        <v>90</v>
      </c>
      <c r="B64" s="2" t="s">
        <v>95</v>
      </c>
      <c r="C64" t="s">
        <v>268</v>
      </c>
      <c r="D64">
        <v>2017</v>
      </c>
      <c r="E64">
        <v>6</v>
      </c>
      <c r="F64">
        <v>2</v>
      </c>
      <c r="G64" t="s">
        <v>561</v>
      </c>
      <c r="H64" t="s">
        <v>619</v>
      </c>
      <c r="I64" t="s">
        <v>941</v>
      </c>
      <c r="J64" t="s">
        <v>1232</v>
      </c>
      <c r="K64" t="s">
        <v>1463</v>
      </c>
      <c r="Z64" t="s">
        <v>2166</v>
      </c>
      <c r="AA64" t="s">
        <v>2168</v>
      </c>
    </row>
    <row r="65" spans="1:29" x14ac:dyDescent="0.3">
      <c r="A65" s="1">
        <v>91</v>
      </c>
      <c r="B65" s="2" t="s">
        <v>96</v>
      </c>
      <c r="C65" t="s">
        <v>269</v>
      </c>
      <c r="D65">
        <v>2017</v>
      </c>
      <c r="E65">
        <v>6</v>
      </c>
      <c r="F65">
        <v>3</v>
      </c>
      <c r="G65" t="s">
        <v>561</v>
      </c>
      <c r="H65" t="s">
        <v>620</v>
      </c>
      <c r="I65" t="s">
        <v>942</v>
      </c>
      <c r="J65" t="s">
        <v>1233</v>
      </c>
      <c r="K65" t="s">
        <v>1464</v>
      </c>
      <c r="L65" t="s">
        <v>1665</v>
      </c>
      <c r="M65" t="s">
        <v>1818</v>
      </c>
      <c r="Z65" t="s">
        <v>2168</v>
      </c>
      <c r="AA65" t="s">
        <v>2168</v>
      </c>
      <c r="AB65" t="s">
        <v>2168</v>
      </c>
    </row>
    <row r="66" spans="1:29" x14ac:dyDescent="0.3">
      <c r="A66" s="1">
        <v>92</v>
      </c>
      <c r="B66" s="2" t="s">
        <v>97</v>
      </c>
      <c r="C66" t="s">
        <v>270</v>
      </c>
      <c r="D66">
        <v>2020</v>
      </c>
      <c r="E66">
        <v>6</v>
      </c>
      <c r="F66">
        <v>3</v>
      </c>
      <c r="G66" t="s">
        <v>561</v>
      </c>
      <c r="H66" t="s">
        <v>621</v>
      </c>
      <c r="I66" t="s">
        <v>943</v>
      </c>
      <c r="J66" t="s">
        <v>1234</v>
      </c>
      <c r="K66" t="s">
        <v>1465</v>
      </c>
      <c r="L66" t="s">
        <v>1666</v>
      </c>
      <c r="M66" t="s">
        <v>1819</v>
      </c>
      <c r="Z66" t="s">
        <v>2166</v>
      </c>
      <c r="AA66" t="s">
        <v>2167</v>
      </c>
      <c r="AB66" t="s">
        <v>2168</v>
      </c>
    </row>
    <row r="67" spans="1:29" x14ac:dyDescent="0.3">
      <c r="A67" s="1">
        <v>93</v>
      </c>
      <c r="B67" s="2" t="s">
        <v>98</v>
      </c>
      <c r="C67" t="s">
        <v>271</v>
      </c>
      <c r="D67">
        <v>2021</v>
      </c>
      <c r="E67">
        <v>6</v>
      </c>
      <c r="F67">
        <v>2</v>
      </c>
      <c r="G67" t="s">
        <v>561</v>
      </c>
      <c r="H67" t="s">
        <v>622</v>
      </c>
      <c r="I67" t="s">
        <v>944</v>
      </c>
      <c r="J67" t="s">
        <v>1235</v>
      </c>
      <c r="K67" t="s">
        <v>1466</v>
      </c>
      <c r="Z67" t="s">
        <v>2167</v>
      </c>
      <c r="AA67" t="s">
        <v>2167</v>
      </c>
    </row>
    <row r="68" spans="1:29" x14ac:dyDescent="0.3">
      <c r="A68" s="1">
        <v>94</v>
      </c>
      <c r="B68" s="2" t="s">
        <v>99</v>
      </c>
      <c r="C68" t="s">
        <v>272</v>
      </c>
      <c r="D68">
        <v>2021</v>
      </c>
      <c r="E68">
        <v>6</v>
      </c>
      <c r="F68">
        <v>1</v>
      </c>
      <c r="G68" t="s">
        <v>561</v>
      </c>
      <c r="H68" t="s">
        <v>623</v>
      </c>
      <c r="I68" t="s">
        <v>945</v>
      </c>
      <c r="Z68" t="s">
        <v>2166</v>
      </c>
    </row>
    <row r="69" spans="1:29" x14ac:dyDescent="0.3">
      <c r="A69" s="1">
        <v>97</v>
      </c>
      <c r="B69" s="2" t="s">
        <v>100</v>
      </c>
      <c r="C69" t="s">
        <v>273</v>
      </c>
      <c r="D69">
        <v>2015</v>
      </c>
      <c r="E69">
        <v>5</v>
      </c>
      <c r="F69">
        <v>2</v>
      </c>
      <c r="G69" t="s">
        <v>561</v>
      </c>
      <c r="H69" t="s">
        <v>581</v>
      </c>
      <c r="I69" t="s">
        <v>903</v>
      </c>
      <c r="J69" t="s">
        <v>1207</v>
      </c>
      <c r="K69" t="s">
        <v>1439</v>
      </c>
      <c r="Z69" t="s">
        <v>2166</v>
      </c>
      <c r="AA69" t="s">
        <v>2166</v>
      </c>
    </row>
    <row r="70" spans="1:29" x14ac:dyDescent="0.3">
      <c r="A70" s="1">
        <v>101</v>
      </c>
      <c r="B70" s="2" t="s">
        <v>101</v>
      </c>
      <c r="C70" t="s">
        <v>274</v>
      </c>
      <c r="D70">
        <v>2015</v>
      </c>
      <c r="E70">
        <v>5</v>
      </c>
      <c r="F70">
        <v>1</v>
      </c>
      <c r="G70" t="s">
        <v>561</v>
      </c>
      <c r="H70" t="s">
        <v>624</v>
      </c>
      <c r="I70" t="s">
        <v>946</v>
      </c>
      <c r="Z70" t="s">
        <v>2166</v>
      </c>
    </row>
    <row r="71" spans="1:29" x14ac:dyDescent="0.3">
      <c r="A71" s="1">
        <v>103</v>
      </c>
      <c r="B71" s="2" t="s">
        <v>102</v>
      </c>
      <c r="C71" t="s">
        <v>275</v>
      </c>
      <c r="D71">
        <v>2016</v>
      </c>
      <c r="E71">
        <v>5</v>
      </c>
      <c r="F71">
        <v>1</v>
      </c>
      <c r="G71" t="s">
        <v>561</v>
      </c>
      <c r="H71" t="s">
        <v>625</v>
      </c>
      <c r="I71" t="s">
        <v>947</v>
      </c>
      <c r="Z71" t="s">
        <v>2166</v>
      </c>
    </row>
    <row r="72" spans="1:29" x14ac:dyDescent="0.3">
      <c r="A72" s="1">
        <v>104</v>
      </c>
      <c r="B72" s="2" t="s">
        <v>103</v>
      </c>
      <c r="C72" t="s">
        <v>276</v>
      </c>
      <c r="D72">
        <v>2017</v>
      </c>
      <c r="E72">
        <v>5</v>
      </c>
      <c r="F72">
        <v>2</v>
      </c>
      <c r="G72" t="s">
        <v>561</v>
      </c>
      <c r="H72" t="s">
        <v>626</v>
      </c>
      <c r="I72" t="s">
        <v>948</v>
      </c>
      <c r="J72" t="s">
        <v>1236</v>
      </c>
      <c r="K72" t="s">
        <v>1467</v>
      </c>
      <c r="Z72" t="s">
        <v>2167</v>
      </c>
      <c r="AA72" t="s">
        <v>2168</v>
      </c>
    </row>
    <row r="73" spans="1:29" x14ac:dyDescent="0.3">
      <c r="A73" s="1">
        <v>105</v>
      </c>
      <c r="B73" s="2" t="s">
        <v>104</v>
      </c>
      <c r="C73" t="s">
        <v>277</v>
      </c>
      <c r="D73">
        <v>2017</v>
      </c>
      <c r="E73">
        <v>5</v>
      </c>
      <c r="F73">
        <v>1</v>
      </c>
      <c r="G73" t="s">
        <v>561</v>
      </c>
      <c r="H73" t="s">
        <v>590</v>
      </c>
      <c r="I73" t="s">
        <v>912</v>
      </c>
      <c r="Z73" t="s">
        <v>2166</v>
      </c>
    </row>
    <row r="74" spans="1:29" x14ac:dyDescent="0.3">
      <c r="A74" s="1">
        <v>106</v>
      </c>
      <c r="B74" s="2" t="s">
        <v>105</v>
      </c>
      <c r="C74" t="s">
        <v>278</v>
      </c>
      <c r="D74">
        <v>2017</v>
      </c>
      <c r="E74">
        <v>5</v>
      </c>
      <c r="F74">
        <v>3</v>
      </c>
      <c r="G74" t="s">
        <v>561</v>
      </c>
      <c r="H74" t="s">
        <v>627</v>
      </c>
      <c r="I74" t="s">
        <v>949</v>
      </c>
      <c r="J74" t="s">
        <v>1237</v>
      </c>
      <c r="K74" t="s">
        <v>1468</v>
      </c>
      <c r="L74" t="s">
        <v>1667</v>
      </c>
      <c r="M74" t="s">
        <v>1820</v>
      </c>
      <c r="Z74" t="s">
        <v>2166</v>
      </c>
      <c r="AA74" t="s">
        <v>2168</v>
      </c>
      <c r="AB74" t="s">
        <v>2166</v>
      </c>
    </row>
    <row r="75" spans="1:29" x14ac:dyDescent="0.3">
      <c r="A75" s="1">
        <v>107</v>
      </c>
      <c r="B75" s="2" t="s">
        <v>106</v>
      </c>
      <c r="C75" t="s">
        <v>279</v>
      </c>
      <c r="D75">
        <v>2017</v>
      </c>
      <c r="E75">
        <v>5</v>
      </c>
      <c r="F75">
        <v>1</v>
      </c>
      <c r="G75" t="s">
        <v>561</v>
      </c>
      <c r="H75" t="s">
        <v>628</v>
      </c>
      <c r="I75" t="s">
        <v>950</v>
      </c>
      <c r="Z75" t="s">
        <v>2166</v>
      </c>
    </row>
    <row r="76" spans="1:29" x14ac:dyDescent="0.3">
      <c r="A76" s="1">
        <v>108</v>
      </c>
      <c r="B76" s="2" t="s">
        <v>107</v>
      </c>
      <c r="C76" t="s">
        <v>280</v>
      </c>
      <c r="D76">
        <v>2018</v>
      </c>
      <c r="E76">
        <v>5</v>
      </c>
      <c r="F76">
        <v>1</v>
      </c>
      <c r="G76" t="s">
        <v>561</v>
      </c>
      <c r="H76" t="s">
        <v>629</v>
      </c>
      <c r="I76" t="s">
        <v>951</v>
      </c>
      <c r="Z76" t="s">
        <v>2168</v>
      </c>
    </row>
    <row r="77" spans="1:29" x14ac:dyDescent="0.3">
      <c r="A77" s="1">
        <v>109</v>
      </c>
      <c r="B77" s="2" t="s">
        <v>108</v>
      </c>
      <c r="C77" t="s">
        <v>281</v>
      </c>
      <c r="D77">
        <v>2018</v>
      </c>
      <c r="E77">
        <v>5</v>
      </c>
      <c r="F77">
        <v>1</v>
      </c>
      <c r="G77" t="s">
        <v>561</v>
      </c>
      <c r="H77" t="s">
        <v>630</v>
      </c>
      <c r="I77" t="s">
        <v>952</v>
      </c>
      <c r="Z77" t="s">
        <v>2168</v>
      </c>
    </row>
    <row r="78" spans="1:29" x14ac:dyDescent="0.3">
      <c r="A78" s="1">
        <v>110</v>
      </c>
      <c r="B78" s="2" t="s">
        <v>109</v>
      </c>
      <c r="C78" t="s">
        <v>282</v>
      </c>
      <c r="D78">
        <v>2018</v>
      </c>
      <c r="E78">
        <v>5</v>
      </c>
      <c r="F78">
        <v>1</v>
      </c>
      <c r="G78" t="s">
        <v>561</v>
      </c>
      <c r="H78" t="s">
        <v>631</v>
      </c>
      <c r="I78" t="s">
        <v>953</v>
      </c>
      <c r="Z78" t="s">
        <v>2168</v>
      </c>
    </row>
    <row r="79" spans="1:29" x14ac:dyDescent="0.3">
      <c r="A79" s="1">
        <v>111</v>
      </c>
      <c r="B79" s="2" t="s">
        <v>110</v>
      </c>
      <c r="C79" t="s">
        <v>283</v>
      </c>
      <c r="D79">
        <v>2020</v>
      </c>
      <c r="E79">
        <v>5</v>
      </c>
      <c r="F79">
        <v>3</v>
      </c>
      <c r="G79" t="s">
        <v>561</v>
      </c>
      <c r="H79" t="s">
        <v>632</v>
      </c>
      <c r="I79" t="s">
        <v>954</v>
      </c>
      <c r="J79" t="s">
        <v>1238</v>
      </c>
      <c r="K79" t="s">
        <v>1469</v>
      </c>
      <c r="L79" t="s">
        <v>1668</v>
      </c>
      <c r="M79" t="s">
        <v>1821</v>
      </c>
      <c r="Z79" t="s">
        <v>2167</v>
      </c>
      <c r="AA79" t="s">
        <v>2167</v>
      </c>
      <c r="AB79" t="s">
        <v>2167</v>
      </c>
    </row>
    <row r="80" spans="1:29" x14ac:dyDescent="0.3">
      <c r="A80" s="1">
        <v>113</v>
      </c>
      <c r="B80" s="2" t="s">
        <v>111</v>
      </c>
      <c r="C80" t="s">
        <v>284</v>
      </c>
      <c r="D80">
        <v>2021</v>
      </c>
      <c r="E80">
        <v>5</v>
      </c>
      <c r="F80">
        <v>4</v>
      </c>
      <c r="G80" t="s">
        <v>561</v>
      </c>
      <c r="H80" t="s">
        <v>633</v>
      </c>
      <c r="I80" t="s">
        <v>955</v>
      </c>
      <c r="J80" t="s">
        <v>1239</v>
      </c>
      <c r="K80" t="s">
        <v>1470</v>
      </c>
      <c r="L80" t="s">
        <v>1669</v>
      </c>
      <c r="M80" t="s">
        <v>1822</v>
      </c>
      <c r="N80" t="s">
        <v>1645</v>
      </c>
      <c r="O80" t="s">
        <v>1800</v>
      </c>
      <c r="Z80" t="s">
        <v>2166</v>
      </c>
      <c r="AA80" t="s">
        <v>2166</v>
      </c>
      <c r="AB80" t="s">
        <v>2168</v>
      </c>
      <c r="AC80" t="s">
        <v>2168</v>
      </c>
    </row>
    <row r="81" spans="1:30" x14ac:dyDescent="0.3">
      <c r="A81" s="1">
        <v>114</v>
      </c>
      <c r="B81" s="2" t="s">
        <v>112</v>
      </c>
      <c r="C81" t="s">
        <v>285</v>
      </c>
      <c r="D81">
        <v>2021</v>
      </c>
      <c r="E81">
        <v>5</v>
      </c>
      <c r="F81">
        <v>6</v>
      </c>
      <c r="G81" t="s">
        <v>561</v>
      </c>
      <c r="H81" t="s">
        <v>566</v>
      </c>
      <c r="I81" t="s">
        <v>888</v>
      </c>
      <c r="J81" t="s">
        <v>1240</v>
      </c>
      <c r="L81" t="s">
        <v>1670</v>
      </c>
      <c r="M81" t="s">
        <v>912</v>
      </c>
      <c r="N81" t="s">
        <v>1945</v>
      </c>
      <c r="O81" t="s">
        <v>2005</v>
      </c>
      <c r="P81" t="s">
        <v>2057</v>
      </c>
      <c r="R81" t="s">
        <v>2106</v>
      </c>
      <c r="Z81" t="s">
        <v>2168</v>
      </c>
      <c r="AB81" t="s">
        <v>2166</v>
      </c>
      <c r="AC81" t="s">
        <v>2168</v>
      </c>
    </row>
    <row r="82" spans="1:30" x14ac:dyDescent="0.3">
      <c r="A82" s="1">
        <v>118</v>
      </c>
      <c r="B82" s="2" t="s">
        <v>113</v>
      </c>
      <c r="C82" t="s">
        <v>286</v>
      </c>
      <c r="D82">
        <v>2018</v>
      </c>
      <c r="E82">
        <v>4</v>
      </c>
      <c r="F82">
        <v>2</v>
      </c>
      <c r="G82" t="s">
        <v>561</v>
      </c>
      <c r="H82" t="s">
        <v>634</v>
      </c>
      <c r="I82" t="s">
        <v>956</v>
      </c>
      <c r="J82" t="s">
        <v>1241</v>
      </c>
      <c r="K82" t="s">
        <v>1471</v>
      </c>
      <c r="Z82" t="s">
        <v>2166</v>
      </c>
      <c r="AA82" t="s">
        <v>2166</v>
      </c>
    </row>
    <row r="83" spans="1:30" x14ac:dyDescent="0.3">
      <c r="A83" s="1">
        <v>119</v>
      </c>
      <c r="B83" s="2" t="s">
        <v>114</v>
      </c>
      <c r="C83" t="s">
        <v>287</v>
      </c>
      <c r="D83">
        <v>2018</v>
      </c>
      <c r="E83">
        <v>4</v>
      </c>
      <c r="F83">
        <v>4</v>
      </c>
      <c r="G83" t="s">
        <v>561</v>
      </c>
      <c r="H83" t="s">
        <v>635</v>
      </c>
      <c r="I83" t="s">
        <v>957</v>
      </c>
      <c r="J83" t="s">
        <v>1242</v>
      </c>
      <c r="K83" t="s">
        <v>1472</v>
      </c>
      <c r="L83" t="s">
        <v>1671</v>
      </c>
      <c r="M83" t="s">
        <v>1823</v>
      </c>
      <c r="N83" t="s">
        <v>1946</v>
      </c>
      <c r="O83" t="s">
        <v>2006</v>
      </c>
      <c r="Z83" t="s">
        <v>2168</v>
      </c>
      <c r="AA83" t="s">
        <v>2166</v>
      </c>
      <c r="AB83" t="s">
        <v>2168</v>
      </c>
      <c r="AC83" t="s">
        <v>2168</v>
      </c>
    </row>
    <row r="84" spans="1:30" x14ac:dyDescent="0.3">
      <c r="A84" s="1">
        <v>120</v>
      </c>
      <c r="B84" s="2" t="s">
        <v>115</v>
      </c>
      <c r="C84" t="s">
        <v>288</v>
      </c>
      <c r="D84">
        <v>2018</v>
      </c>
      <c r="E84">
        <v>4</v>
      </c>
      <c r="F84">
        <v>1</v>
      </c>
      <c r="G84" t="s">
        <v>561</v>
      </c>
      <c r="H84" t="s">
        <v>570</v>
      </c>
      <c r="I84" t="s">
        <v>892</v>
      </c>
      <c r="Z84" t="s">
        <v>2168</v>
      </c>
    </row>
    <row r="85" spans="1:30" x14ac:dyDescent="0.3">
      <c r="A85" s="1">
        <v>121</v>
      </c>
      <c r="B85" s="2" t="s">
        <v>116</v>
      </c>
      <c r="C85" t="s">
        <v>289</v>
      </c>
      <c r="D85">
        <v>2018</v>
      </c>
      <c r="E85">
        <v>4</v>
      </c>
      <c r="F85">
        <v>1</v>
      </c>
      <c r="G85" t="s">
        <v>561</v>
      </c>
      <c r="H85" t="s">
        <v>636</v>
      </c>
      <c r="I85" t="s">
        <v>958</v>
      </c>
      <c r="Z85" t="s">
        <v>2168</v>
      </c>
    </row>
    <row r="86" spans="1:30" x14ac:dyDescent="0.3">
      <c r="A86" s="1">
        <v>122</v>
      </c>
      <c r="B86" s="2" t="s">
        <v>117</v>
      </c>
      <c r="C86" t="s">
        <v>290</v>
      </c>
      <c r="D86">
        <v>2018</v>
      </c>
      <c r="E86">
        <v>4</v>
      </c>
      <c r="F86">
        <v>1</v>
      </c>
      <c r="G86" t="s">
        <v>561</v>
      </c>
      <c r="H86" t="s">
        <v>637</v>
      </c>
      <c r="I86" t="s">
        <v>959</v>
      </c>
      <c r="Z86" t="s">
        <v>2166</v>
      </c>
    </row>
    <row r="87" spans="1:30" x14ac:dyDescent="0.3">
      <c r="A87" s="1">
        <v>123</v>
      </c>
      <c r="B87" s="2" t="s">
        <v>118</v>
      </c>
      <c r="C87" t="s">
        <v>291</v>
      </c>
      <c r="D87">
        <v>2018</v>
      </c>
      <c r="E87">
        <v>4</v>
      </c>
      <c r="F87">
        <v>2</v>
      </c>
      <c r="G87" t="s">
        <v>561</v>
      </c>
      <c r="H87" t="s">
        <v>638</v>
      </c>
      <c r="I87" t="s">
        <v>960</v>
      </c>
      <c r="J87" t="s">
        <v>1243</v>
      </c>
      <c r="K87" t="s">
        <v>1473</v>
      </c>
      <c r="Z87" t="s">
        <v>2168</v>
      </c>
      <c r="AA87" t="s">
        <v>2166</v>
      </c>
    </row>
    <row r="88" spans="1:30" x14ac:dyDescent="0.3">
      <c r="A88" s="1">
        <v>124</v>
      </c>
      <c r="B88" s="2" t="s">
        <v>119</v>
      </c>
      <c r="C88" t="s">
        <v>292</v>
      </c>
      <c r="D88">
        <v>2019</v>
      </c>
      <c r="E88">
        <v>4</v>
      </c>
      <c r="F88">
        <v>2</v>
      </c>
      <c r="G88" t="s">
        <v>561</v>
      </c>
      <c r="H88" t="s">
        <v>639</v>
      </c>
      <c r="I88" t="s">
        <v>961</v>
      </c>
      <c r="J88" t="s">
        <v>1244</v>
      </c>
      <c r="K88" t="s">
        <v>1474</v>
      </c>
      <c r="Z88" t="s">
        <v>2168</v>
      </c>
      <c r="AA88" t="s">
        <v>2166</v>
      </c>
    </row>
    <row r="89" spans="1:30" x14ac:dyDescent="0.3">
      <c r="A89" s="1">
        <v>125</v>
      </c>
      <c r="B89" s="2" t="s">
        <v>120</v>
      </c>
      <c r="C89" t="s">
        <v>293</v>
      </c>
      <c r="D89">
        <v>2017</v>
      </c>
      <c r="E89">
        <v>4</v>
      </c>
      <c r="F89">
        <v>3</v>
      </c>
      <c r="G89" t="s">
        <v>561</v>
      </c>
      <c r="H89" t="s">
        <v>640</v>
      </c>
      <c r="I89" t="s">
        <v>962</v>
      </c>
      <c r="J89" t="s">
        <v>1245</v>
      </c>
      <c r="K89" t="s">
        <v>1475</v>
      </c>
      <c r="L89" t="s">
        <v>1672</v>
      </c>
      <c r="M89" t="s">
        <v>1824</v>
      </c>
      <c r="Z89" t="s">
        <v>2168</v>
      </c>
      <c r="AA89" t="s">
        <v>2166</v>
      </c>
      <c r="AB89" t="s">
        <v>2168</v>
      </c>
    </row>
    <row r="90" spans="1:30" x14ac:dyDescent="0.3">
      <c r="A90" s="1">
        <v>126</v>
      </c>
      <c r="B90" s="2" t="s">
        <v>121</v>
      </c>
      <c r="C90" t="s">
        <v>294</v>
      </c>
      <c r="D90">
        <v>2020</v>
      </c>
      <c r="E90">
        <v>4</v>
      </c>
      <c r="F90">
        <v>1</v>
      </c>
      <c r="G90" t="s">
        <v>561</v>
      </c>
      <c r="H90" t="s">
        <v>641</v>
      </c>
      <c r="I90" t="s">
        <v>963</v>
      </c>
      <c r="Z90" t="s">
        <v>2168</v>
      </c>
    </row>
    <row r="91" spans="1:30" x14ac:dyDescent="0.3">
      <c r="A91" s="1">
        <v>128</v>
      </c>
      <c r="B91" s="2" t="s">
        <v>122</v>
      </c>
      <c r="C91" t="s">
        <v>295</v>
      </c>
      <c r="D91">
        <v>2021</v>
      </c>
      <c r="E91">
        <v>4</v>
      </c>
      <c r="F91">
        <v>2</v>
      </c>
      <c r="G91" t="s">
        <v>561</v>
      </c>
      <c r="H91" t="s">
        <v>642</v>
      </c>
      <c r="I91" t="s">
        <v>964</v>
      </c>
      <c r="J91" t="s">
        <v>1246</v>
      </c>
      <c r="K91" t="s">
        <v>1476</v>
      </c>
      <c r="Z91" t="s">
        <v>2166</v>
      </c>
      <c r="AA91" t="s">
        <v>2166</v>
      </c>
    </row>
    <row r="92" spans="1:30" x14ac:dyDescent="0.3">
      <c r="A92" s="1">
        <v>129</v>
      </c>
      <c r="B92" s="2" t="s">
        <v>123</v>
      </c>
      <c r="C92" t="s">
        <v>296</v>
      </c>
      <c r="D92">
        <v>2021</v>
      </c>
      <c r="E92">
        <v>4</v>
      </c>
      <c r="F92">
        <v>7</v>
      </c>
      <c r="G92" t="s">
        <v>561</v>
      </c>
      <c r="H92" t="s">
        <v>598</v>
      </c>
      <c r="I92" t="s">
        <v>920</v>
      </c>
      <c r="J92" t="s">
        <v>1247</v>
      </c>
      <c r="L92" t="s">
        <v>1673</v>
      </c>
      <c r="M92" t="s">
        <v>1825</v>
      </c>
      <c r="N92" t="s">
        <v>1218</v>
      </c>
      <c r="O92" t="s">
        <v>1449</v>
      </c>
      <c r="P92" t="s">
        <v>2058</v>
      </c>
      <c r="R92" t="s">
        <v>2107</v>
      </c>
      <c r="T92" t="s">
        <v>2136</v>
      </c>
      <c r="Z92" t="s">
        <v>2166</v>
      </c>
      <c r="AB92" t="s">
        <v>2166</v>
      </c>
      <c r="AC92" t="s">
        <v>2166</v>
      </c>
    </row>
    <row r="93" spans="1:30" x14ac:dyDescent="0.3">
      <c r="A93" s="1">
        <v>143</v>
      </c>
      <c r="B93" s="2" t="s">
        <v>124</v>
      </c>
      <c r="C93" t="s">
        <v>297</v>
      </c>
      <c r="D93">
        <v>2016</v>
      </c>
      <c r="E93">
        <v>3</v>
      </c>
      <c r="F93">
        <v>4</v>
      </c>
      <c r="G93" t="s">
        <v>561</v>
      </c>
      <c r="H93" t="s">
        <v>643</v>
      </c>
      <c r="I93" t="s">
        <v>965</v>
      </c>
      <c r="J93" t="s">
        <v>1248</v>
      </c>
      <c r="K93" t="s">
        <v>1477</v>
      </c>
      <c r="L93" t="s">
        <v>1674</v>
      </c>
      <c r="M93" t="s">
        <v>1826</v>
      </c>
      <c r="N93" t="s">
        <v>1947</v>
      </c>
      <c r="O93" t="s">
        <v>2007</v>
      </c>
      <c r="Z93" t="s">
        <v>2166</v>
      </c>
      <c r="AA93" t="s">
        <v>2168</v>
      </c>
      <c r="AB93" t="s">
        <v>2166</v>
      </c>
      <c r="AC93" t="s">
        <v>2166</v>
      </c>
    </row>
    <row r="94" spans="1:30" x14ac:dyDescent="0.3">
      <c r="A94" s="1">
        <v>144</v>
      </c>
      <c r="B94" s="2" t="s">
        <v>125</v>
      </c>
      <c r="C94" t="s">
        <v>298</v>
      </c>
      <c r="D94">
        <v>2017</v>
      </c>
      <c r="E94">
        <v>3</v>
      </c>
      <c r="F94">
        <v>1</v>
      </c>
      <c r="G94" t="s">
        <v>561</v>
      </c>
      <c r="H94" t="s">
        <v>590</v>
      </c>
      <c r="I94" t="s">
        <v>912</v>
      </c>
      <c r="Z94" t="s">
        <v>2166</v>
      </c>
    </row>
    <row r="95" spans="1:30" x14ac:dyDescent="0.3">
      <c r="A95" s="1">
        <v>145</v>
      </c>
      <c r="B95" s="2" t="s">
        <v>126</v>
      </c>
      <c r="C95" t="s">
        <v>299</v>
      </c>
      <c r="D95">
        <v>2017</v>
      </c>
      <c r="E95">
        <v>3</v>
      </c>
      <c r="F95">
        <v>3</v>
      </c>
      <c r="G95" t="s">
        <v>561</v>
      </c>
      <c r="H95" t="s">
        <v>644</v>
      </c>
      <c r="I95" t="s">
        <v>966</v>
      </c>
      <c r="J95" t="s">
        <v>1249</v>
      </c>
      <c r="K95" t="s">
        <v>1478</v>
      </c>
      <c r="L95" t="s">
        <v>1675</v>
      </c>
      <c r="M95" t="s">
        <v>1827</v>
      </c>
      <c r="Z95" t="s">
        <v>2166</v>
      </c>
      <c r="AA95" t="s">
        <v>2166</v>
      </c>
      <c r="AB95" t="s">
        <v>2166</v>
      </c>
    </row>
    <row r="96" spans="1:30" x14ac:dyDescent="0.3">
      <c r="A96" s="1">
        <v>146</v>
      </c>
      <c r="B96" s="2" t="s">
        <v>127</v>
      </c>
      <c r="C96" t="s">
        <v>300</v>
      </c>
      <c r="D96">
        <v>2017</v>
      </c>
      <c r="E96">
        <v>3</v>
      </c>
      <c r="F96">
        <v>5</v>
      </c>
      <c r="G96" t="s">
        <v>561</v>
      </c>
      <c r="H96" t="s">
        <v>645</v>
      </c>
      <c r="I96" t="s">
        <v>967</v>
      </c>
      <c r="J96" t="s">
        <v>1250</v>
      </c>
      <c r="K96" t="s">
        <v>1479</v>
      </c>
      <c r="L96" t="s">
        <v>1676</v>
      </c>
      <c r="M96" t="s">
        <v>1828</v>
      </c>
      <c r="N96" t="s">
        <v>1948</v>
      </c>
      <c r="O96" t="s">
        <v>2008</v>
      </c>
      <c r="P96" t="s">
        <v>2059</v>
      </c>
      <c r="Q96" t="s">
        <v>2085</v>
      </c>
      <c r="Z96" t="s">
        <v>2166</v>
      </c>
      <c r="AA96" t="s">
        <v>2166</v>
      </c>
      <c r="AB96" t="s">
        <v>2166</v>
      </c>
      <c r="AC96" t="s">
        <v>2168</v>
      </c>
      <c r="AD96" t="s">
        <v>2168</v>
      </c>
    </row>
    <row r="97" spans="1:31" x14ac:dyDescent="0.3">
      <c r="A97" s="1">
        <v>147</v>
      </c>
      <c r="B97" s="2" t="s">
        <v>128</v>
      </c>
      <c r="C97" t="s">
        <v>301</v>
      </c>
      <c r="D97">
        <v>2018</v>
      </c>
      <c r="E97">
        <v>3</v>
      </c>
      <c r="F97">
        <v>6</v>
      </c>
      <c r="G97" t="s">
        <v>561</v>
      </c>
      <c r="H97" t="s">
        <v>646</v>
      </c>
      <c r="I97" t="s">
        <v>968</v>
      </c>
      <c r="J97" t="s">
        <v>1251</v>
      </c>
      <c r="K97" t="s">
        <v>1480</v>
      </c>
      <c r="L97" t="s">
        <v>1677</v>
      </c>
      <c r="M97" t="s">
        <v>1829</v>
      </c>
      <c r="N97" t="s">
        <v>1949</v>
      </c>
      <c r="O97" t="s">
        <v>2009</v>
      </c>
      <c r="P97" t="s">
        <v>2060</v>
      </c>
      <c r="Q97" t="s">
        <v>2086</v>
      </c>
      <c r="R97" t="s">
        <v>2108</v>
      </c>
      <c r="S97" t="s">
        <v>2124</v>
      </c>
      <c r="Z97" t="s">
        <v>2168</v>
      </c>
      <c r="AA97" t="s">
        <v>2166</v>
      </c>
      <c r="AB97" t="s">
        <v>2166</v>
      </c>
      <c r="AC97" t="s">
        <v>2166</v>
      </c>
      <c r="AD97" t="s">
        <v>2168</v>
      </c>
      <c r="AE97" t="s">
        <v>2166</v>
      </c>
    </row>
    <row r="98" spans="1:31" x14ac:dyDescent="0.3">
      <c r="A98" s="1">
        <v>148</v>
      </c>
      <c r="B98" s="2" t="s">
        <v>129</v>
      </c>
      <c r="C98" t="s">
        <v>302</v>
      </c>
      <c r="D98">
        <v>2018</v>
      </c>
      <c r="E98">
        <v>3</v>
      </c>
      <c r="F98">
        <v>4</v>
      </c>
      <c r="G98" t="s">
        <v>561</v>
      </c>
      <c r="H98" t="s">
        <v>647</v>
      </c>
      <c r="I98" t="s">
        <v>969</v>
      </c>
      <c r="J98" t="s">
        <v>1252</v>
      </c>
      <c r="K98" t="s">
        <v>1481</v>
      </c>
      <c r="L98" t="s">
        <v>1678</v>
      </c>
      <c r="M98" t="s">
        <v>1830</v>
      </c>
      <c r="N98" t="s">
        <v>1950</v>
      </c>
      <c r="O98" t="s">
        <v>2010</v>
      </c>
      <c r="Z98" t="s">
        <v>2168</v>
      </c>
      <c r="AA98" t="s">
        <v>2168</v>
      </c>
      <c r="AB98" t="s">
        <v>2168</v>
      </c>
      <c r="AC98" t="s">
        <v>2168</v>
      </c>
    </row>
    <row r="99" spans="1:31" x14ac:dyDescent="0.3">
      <c r="A99" s="1">
        <v>149</v>
      </c>
      <c r="B99" s="2" t="s">
        <v>130</v>
      </c>
      <c r="C99" t="s">
        <v>303</v>
      </c>
      <c r="D99">
        <v>2018</v>
      </c>
      <c r="E99">
        <v>3</v>
      </c>
      <c r="F99">
        <v>2</v>
      </c>
      <c r="G99" t="s">
        <v>561</v>
      </c>
      <c r="H99" t="s">
        <v>648</v>
      </c>
      <c r="I99" t="s">
        <v>970</v>
      </c>
      <c r="J99" t="s">
        <v>1253</v>
      </c>
      <c r="K99" t="s">
        <v>1482</v>
      </c>
      <c r="Z99" t="s">
        <v>2166</v>
      </c>
      <c r="AA99" t="s">
        <v>2166</v>
      </c>
    </row>
    <row r="100" spans="1:31" x14ac:dyDescent="0.3">
      <c r="A100" s="1">
        <v>150</v>
      </c>
      <c r="B100" s="2" t="s">
        <v>131</v>
      </c>
      <c r="C100" t="s">
        <v>304</v>
      </c>
      <c r="D100">
        <v>2019</v>
      </c>
      <c r="E100">
        <v>3</v>
      </c>
      <c r="F100">
        <v>1</v>
      </c>
      <c r="G100" t="s">
        <v>561</v>
      </c>
      <c r="H100" t="s">
        <v>629</v>
      </c>
      <c r="I100" t="s">
        <v>951</v>
      </c>
      <c r="Z100" t="s">
        <v>2168</v>
      </c>
    </row>
    <row r="101" spans="1:31" x14ac:dyDescent="0.3">
      <c r="A101" s="1">
        <v>151</v>
      </c>
      <c r="B101" s="2" t="s">
        <v>132</v>
      </c>
      <c r="C101" t="s">
        <v>305</v>
      </c>
      <c r="D101">
        <v>2019</v>
      </c>
      <c r="E101">
        <v>3</v>
      </c>
      <c r="F101">
        <v>2</v>
      </c>
      <c r="G101" t="s">
        <v>561</v>
      </c>
      <c r="H101" t="s">
        <v>649</v>
      </c>
      <c r="I101" t="s">
        <v>971</v>
      </c>
      <c r="J101" t="s">
        <v>1254</v>
      </c>
      <c r="K101" t="s">
        <v>1483</v>
      </c>
      <c r="Z101" t="s">
        <v>2166</v>
      </c>
      <c r="AA101" t="s">
        <v>2166</v>
      </c>
    </row>
    <row r="102" spans="1:31" x14ac:dyDescent="0.3">
      <c r="A102" s="1">
        <v>152</v>
      </c>
      <c r="B102" s="2" t="s">
        <v>133</v>
      </c>
      <c r="C102" t="s">
        <v>306</v>
      </c>
      <c r="D102">
        <v>2019</v>
      </c>
      <c r="E102">
        <v>3</v>
      </c>
      <c r="F102">
        <v>3</v>
      </c>
      <c r="G102" t="s">
        <v>561</v>
      </c>
      <c r="H102" t="s">
        <v>650</v>
      </c>
      <c r="I102" t="s">
        <v>972</v>
      </c>
      <c r="J102" t="s">
        <v>1255</v>
      </c>
      <c r="K102" t="s">
        <v>1484</v>
      </c>
      <c r="L102" t="s">
        <v>1679</v>
      </c>
      <c r="M102" t="s">
        <v>1831</v>
      </c>
      <c r="Z102" t="s">
        <v>2166</v>
      </c>
      <c r="AA102" t="s">
        <v>2168</v>
      </c>
      <c r="AB102" t="s">
        <v>2168</v>
      </c>
    </row>
    <row r="103" spans="1:31" x14ac:dyDescent="0.3">
      <c r="A103" s="1">
        <v>153</v>
      </c>
      <c r="B103" s="2" t="s">
        <v>134</v>
      </c>
      <c r="C103" t="s">
        <v>307</v>
      </c>
      <c r="D103">
        <v>2020</v>
      </c>
      <c r="E103">
        <v>3</v>
      </c>
      <c r="F103">
        <v>2</v>
      </c>
      <c r="G103" t="s">
        <v>561</v>
      </c>
      <c r="H103" t="s">
        <v>651</v>
      </c>
      <c r="I103" t="s">
        <v>973</v>
      </c>
      <c r="J103" t="s">
        <v>1256</v>
      </c>
      <c r="K103" t="s">
        <v>1485</v>
      </c>
      <c r="Z103" t="s">
        <v>2168</v>
      </c>
      <c r="AA103" t="s">
        <v>2168</v>
      </c>
    </row>
    <row r="104" spans="1:31" x14ac:dyDescent="0.3">
      <c r="A104" s="1">
        <v>154</v>
      </c>
      <c r="B104" s="2" t="s">
        <v>135</v>
      </c>
      <c r="C104" t="s">
        <v>308</v>
      </c>
      <c r="D104">
        <v>2020</v>
      </c>
      <c r="E104">
        <v>3</v>
      </c>
      <c r="F104">
        <v>1</v>
      </c>
      <c r="G104" t="s">
        <v>561</v>
      </c>
      <c r="H104" t="s">
        <v>652</v>
      </c>
      <c r="I104" t="s">
        <v>974</v>
      </c>
      <c r="Z104" t="s">
        <v>2168</v>
      </c>
    </row>
    <row r="105" spans="1:31" x14ac:dyDescent="0.3">
      <c r="A105" s="1">
        <v>155</v>
      </c>
      <c r="B105" s="2" t="s">
        <v>136</v>
      </c>
      <c r="C105" t="s">
        <v>309</v>
      </c>
      <c r="D105">
        <v>2020</v>
      </c>
      <c r="E105">
        <v>3</v>
      </c>
      <c r="F105">
        <v>2</v>
      </c>
      <c r="G105" t="s">
        <v>561</v>
      </c>
      <c r="H105" t="s">
        <v>653</v>
      </c>
      <c r="I105" t="s">
        <v>975</v>
      </c>
      <c r="J105" t="s">
        <v>590</v>
      </c>
      <c r="K105" t="s">
        <v>912</v>
      </c>
      <c r="Z105" t="s">
        <v>2168</v>
      </c>
      <c r="AA105" t="s">
        <v>2166</v>
      </c>
    </row>
    <row r="106" spans="1:31" x14ac:dyDescent="0.3">
      <c r="A106" s="1">
        <v>156</v>
      </c>
      <c r="B106" s="2" t="s">
        <v>137</v>
      </c>
      <c r="C106" t="s">
        <v>310</v>
      </c>
      <c r="D106">
        <v>2020</v>
      </c>
      <c r="E106">
        <v>3</v>
      </c>
      <c r="F106">
        <v>3</v>
      </c>
      <c r="G106" t="s">
        <v>561</v>
      </c>
      <c r="H106" t="s">
        <v>654</v>
      </c>
      <c r="I106" t="s">
        <v>976</v>
      </c>
      <c r="J106" t="s">
        <v>1257</v>
      </c>
      <c r="K106" t="s">
        <v>1486</v>
      </c>
      <c r="L106" t="s">
        <v>1680</v>
      </c>
      <c r="M106" t="s">
        <v>1832</v>
      </c>
      <c r="Z106" t="s">
        <v>2168</v>
      </c>
      <c r="AA106" t="s">
        <v>2168</v>
      </c>
      <c r="AB106" t="s">
        <v>2168</v>
      </c>
    </row>
    <row r="107" spans="1:31" x14ac:dyDescent="0.3">
      <c r="A107" s="1">
        <v>157</v>
      </c>
      <c r="B107" s="2" t="s">
        <v>138</v>
      </c>
      <c r="C107" t="s">
        <v>311</v>
      </c>
      <c r="D107">
        <v>2020</v>
      </c>
      <c r="E107">
        <v>3</v>
      </c>
      <c r="F107">
        <v>1</v>
      </c>
      <c r="G107" t="s">
        <v>561</v>
      </c>
      <c r="H107" t="s">
        <v>655</v>
      </c>
      <c r="I107" t="s">
        <v>977</v>
      </c>
      <c r="Z107" t="s">
        <v>2168</v>
      </c>
    </row>
    <row r="108" spans="1:31" x14ac:dyDescent="0.3">
      <c r="A108" s="1">
        <v>158</v>
      </c>
      <c r="C108" t="s">
        <v>312</v>
      </c>
      <c r="D108">
        <v>2019</v>
      </c>
      <c r="E108">
        <v>3</v>
      </c>
      <c r="F108">
        <v>3</v>
      </c>
      <c r="G108" t="s">
        <v>561</v>
      </c>
      <c r="H108" t="s">
        <v>656</v>
      </c>
      <c r="I108" t="s">
        <v>978</v>
      </c>
      <c r="J108" t="s">
        <v>1258</v>
      </c>
      <c r="K108" t="s">
        <v>1487</v>
      </c>
      <c r="L108" t="s">
        <v>1681</v>
      </c>
      <c r="M108" t="s">
        <v>1833</v>
      </c>
      <c r="Z108" t="s">
        <v>2168</v>
      </c>
      <c r="AA108" t="s">
        <v>2168</v>
      </c>
      <c r="AB108" t="s">
        <v>2168</v>
      </c>
    </row>
    <row r="109" spans="1:31" x14ac:dyDescent="0.3">
      <c r="A109" s="1">
        <v>159</v>
      </c>
      <c r="B109" s="2" t="s">
        <v>139</v>
      </c>
      <c r="C109" t="s">
        <v>313</v>
      </c>
      <c r="D109">
        <v>2020</v>
      </c>
      <c r="E109">
        <v>3</v>
      </c>
      <c r="F109">
        <v>1</v>
      </c>
      <c r="G109" t="s">
        <v>561</v>
      </c>
      <c r="H109" t="s">
        <v>657</v>
      </c>
      <c r="I109" t="s">
        <v>979</v>
      </c>
      <c r="Z109" t="s">
        <v>2166</v>
      </c>
    </row>
    <row r="110" spans="1:31" x14ac:dyDescent="0.3">
      <c r="A110" s="1">
        <v>160</v>
      </c>
      <c r="B110" s="2" t="s">
        <v>140</v>
      </c>
      <c r="C110" t="s">
        <v>314</v>
      </c>
      <c r="D110">
        <v>2020</v>
      </c>
      <c r="E110">
        <v>3</v>
      </c>
      <c r="F110">
        <v>1</v>
      </c>
      <c r="G110" t="s">
        <v>561</v>
      </c>
      <c r="H110" t="s">
        <v>629</v>
      </c>
      <c r="I110" t="s">
        <v>951</v>
      </c>
      <c r="Z110" t="s">
        <v>2168</v>
      </c>
    </row>
    <row r="111" spans="1:31" x14ac:dyDescent="0.3">
      <c r="A111" s="1">
        <v>162</v>
      </c>
      <c r="B111" s="2" t="s">
        <v>141</v>
      </c>
      <c r="C111" t="s">
        <v>315</v>
      </c>
      <c r="D111">
        <v>2017</v>
      </c>
      <c r="E111">
        <v>3</v>
      </c>
      <c r="F111">
        <v>1</v>
      </c>
      <c r="G111" t="s">
        <v>561</v>
      </c>
      <c r="H111" t="s">
        <v>658</v>
      </c>
      <c r="I111" t="s">
        <v>980</v>
      </c>
      <c r="Z111" t="s">
        <v>2168</v>
      </c>
    </row>
    <row r="112" spans="1:31" x14ac:dyDescent="0.3">
      <c r="A112" s="1">
        <v>164</v>
      </c>
      <c r="B112" s="2" t="s">
        <v>142</v>
      </c>
      <c r="C112" t="s">
        <v>316</v>
      </c>
      <c r="D112">
        <v>2021</v>
      </c>
      <c r="E112">
        <v>3</v>
      </c>
      <c r="F112">
        <v>4</v>
      </c>
      <c r="G112" t="s">
        <v>561</v>
      </c>
      <c r="H112" t="s">
        <v>652</v>
      </c>
      <c r="I112" t="s">
        <v>974</v>
      </c>
      <c r="J112" t="s">
        <v>881</v>
      </c>
      <c r="K112" t="s">
        <v>1192</v>
      </c>
      <c r="L112" t="s">
        <v>1423</v>
      </c>
      <c r="M112" t="s">
        <v>1637</v>
      </c>
      <c r="N112" t="s">
        <v>1659</v>
      </c>
      <c r="O112" t="s">
        <v>1813</v>
      </c>
      <c r="Z112" t="s">
        <v>2168</v>
      </c>
      <c r="AA112" t="s">
        <v>2166</v>
      </c>
      <c r="AB112" t="s">
        <v>2168</v>
      </c>
      <c r="AC112" t="s">
        <v>2167</v>
      </c>
    </row>
    <row r="113" spans="1:34" x14ac:dyDescent="0.3">
      <c r="A113" s="1">
        <v>165</v>
      </c>
      <c r="B113" s="2" t="s">
        <v>143</v>
      </c>
      <c r="C113" t="s">
        <v>317</v>
      </c>
      <c r="D113">
        <v>2021</v>
      </c>
      <c r="E113">
        <v>3</v>
      </c>
      <c r="F113">
        <v>2</v>
      </c>
      <c r="G113" t="s">
        <v>561</v>
      </c>
      <c r="H113" t="s">
        <v>659</v>
      </c>
      <c r="I113" t="s">
        <v>981</v>
      </c>
      <c r="J113" t="s">
        <v>1259</v>
      </c>
      <c r="K113" t="s">
        <v>1488</v>
      </c>
      <c r="Z113" t="s">
        <v>2167</v>
      </c>
      <c r="AA113" t="s">
        <v>2166</v>
      </c>
    </row>
    <row r="114" spans="1:34" x14ac:dyDescent="0.3">
      <c r="A114" s="1">
        <v>166</v>
      </c>
      <c r="B114" s="2" t="s">
        <v>144</v>
      </c>
      <c r="C114" t="s">
        <v>318</v>
      </c>
      <c r="D114">
        <v>2021</v>
      </c>
      <c r="E114">
        <v>3</v>
      </c>
      <c r="F114">
        <v>9</v>
      </c>
      <c r="G114" t="s">
        <v>561</v>
      </c>
      <c r="H114" t="s">
        <v>660</v>
      </c>
      <c r="I114" t="s">
        <v>982</v>
      </c>
      <c r="J114" t="s">
        <v>1260</v>
      </c>
      <c r="K114" t="s">
        <v>1489</v>
      </c>
      <c r="L114" t="s">
        <v>1682</v>
      </c>
      <c r="M114" t="s">
        <v>1834</v>
      </c>
      <c r="N114" t="s">
        <v>1951</v>
      </c>
      <c r="O114" t="s">
        <v>2011</v>
      </c>
      <c r="P114" t="s">
        <v>2061</v>
      </c>
      <c r="Q114" t="s">
        <v>2087</v>
      </c>
      <c r="R114" t="s">
        <v>2109</v>
      </c>
      <c r="S114" t="s">
        <v>2125</v>
      </c>
      <c r="T114" t="s">
        <v>2137</v>
      </c>
      <c r="U114" t="s">
        <v>2144</v>
      </c>
      <c r="V114" t="s">
        <v>2151</v>
      </c>
      <c r="W114" t="s">
        <v>2155</v>
      </c>
      <c r="X114" t="s">
        <v>2159</v>
      </c>
      <c r="Y114" t="s">
        <v>2163</v>
      </c>
      <c r="Z114" t="s">
        <v>2166</v>
      </c>
      <c r="AA114" t="s">
        <v>2166</v>
      </c>
      <c r="AB114" t="s">
        <v>2168</v>
      </c>
      <c r="AC114" t="s">
        <v>2166</v>
      </c>
      <c r="AD114" t="s">
        <v>2166</v>
      </c>
      <c r="AE114" t="s">
        <v>2166</v>
      </c>
      <c r="AF114" t="s">
        <v>2167</v>
      </c>
      <c r="AG114" t="s">
        <v>2166</v>
      </c>
      <c r="AH114" t="s">
        <v>2166</v>
      </c>
    </row>
    <row r="115" spans="1:34" x14ac:dyDescent="0.3">
      <c r="A115" s="1">
        <v>167</v>
      </c>
      <c r="B115" s="2" t="s">
        <v>145</v>
      </c>
      <c r="C115" t="s">
        <v>319</v>
      </c>
      <c r="D115">
        <v>2021</v>
      </c>
      <c r="E115">
        <v>3</v>
      </c>
      <c r="F115">
        <v>4</v>
      </c>
      <c r="G115" t="s">
        <v>561</v>
      </c>
      <c r="H115" t="s">
        <v>661</v>
      </c>
      <c r="I115" t="s">
        <v>983</v>
      </c>
      <c r="J115" t="s">
        <v>1243</v>
      </c>
      <c r="K115" t="s">
        <v>1473</v>
      </c>
      <c r="L115" t="s">
        <v>1683</v>
      </c>
      <c r="M115" t="s">
        <v>1835</v>
      </c>
      <c r="N115" t="s">
        <v>636</v>
      </c>
      <c r="O115" t="s">
        <v>958</v>
      </c>
      <c r="Z115" t="s">
        <v>2168</v>
      </c>
      <c r="AA115" t="s">
        <v>2166</v>
      </c>
      <c r="AB115" t="s">
        <v>2166</v>
      </c>
      <c r="AC115" t="s">
        <v>2168</v>
      </c>
    </row>
    <row r="116" spans="1:34" x14ac:dyDescent="0.3">
      <c r="A116" s="1">
        <v>168</v>
      </c>
      <c r="B116" s="2" t="s">
        <v>146</v>
      </c>
      <c r="C116" t="s">
        <v>320</v>
      </c>
      <c r="D116">
        <v>2021</v>
      </c>
      <c r="E116">
        <v>3</v>
      </c>
      <c r="F116">
        <v>4</v>
      </c>
      <c r="G116" t="s">
        <v>561</v>
      </c>
      <c r="H116" t="s">
        <v>662</v>
      </c>
      <c r="I116" t="s">
        <v>984</v>
      </c>
      <c r="J116" t="s">
        <v>1261</v>
      </c>
      <c r="K116" t="s">
        <v>1490</v>
      </c>
      <c r="L116" t="s">
        <v>1684</v>
      </c>
      <c r="M116" t="s">
        <v>1836</v>
      </c>
      <c r="N116" t="s">
        <v>1952</v>
      </c>
      <c r="O116" t="s">
        <v>2012</v>
      </c>
      <c r="Z116" t="s">
        <v>2168</v>
      </c>
      <c r="AA116" t="s">
        <v>2166</v>
      </c>
      <c r="AB116" t="s">
        <v>2167</v>
      </c>
      <c r="AC116" t="s">
        <v>2168</v>
      </c>
    </row>
    <row r="117" spans="1:34" x14ac:dyDescent="0.3">
      <c r="A117" s="1">
        <v>169</v>
      </c>
      <c r="B117" s="2" t="s">
        <v>147</v>
      </c>
      <c r="C117" t="s">
        <v>321</v>
      </c>
      <c r="D117">
        <v>2021</v>
      </c>
      <c r="E117">
        <v>3</v>
      </c>
      <c r="F117">
        <v>3</v>
      </c>
      <c r="G117" t="s">
        <v>561</v>
      </c>
      <c r="H117" t="s">
        <v>663</v>
      </c>
      <c r="I117" t="s">
        <v>985</v>
      </c>
      <c r="J117" t="s">
        <v>1262</v>
      </c>
      <c r="K117" t="s">
        <v>1491</v>
      </c>
      <c r="L117" t="s">
        <v>1685</v>
      </c>
      <c r="M117" t="s">
        <v>1837</v>
      </c>
      <c r="Z117" t="s">
        <v>2168</v>
      </c>
      <c r="AA117" t="s">
        <v>2168</v>
      </c>
      <c r="AB117" t="s">
        <v>2168</v>
      </c>
    </row>
    <row r="118" spans="1:34" x14ac:dyDescent="0.3">
      <c r="A118" s="1">
        <v>170</v>
      </c>
      <c r="B118" s="2" t="s">
        <v>148</v>
      </c>
      <c r="C118" t="s">
        <v>322</v>
      </c>
      <c r="D118">
        <v>2015</v>
      </c>
      <c r="E118">
        <v>3</v>
      </c>
      <c r="F118">
        <v>2</v>
      </c>
      <c r="G118" t="s">
        <v>561</v>
      </c>
      <c r="H118" t="s">
        <v>664</v>
      </c>
      <c r="I118" t="s">
        <v>986</v>
      </c>
      <c r="J118" t="s">
        <v>1263</v>
      </c>
      <c r="K118" t="s">
        <v>1492</v>
      </c>
      <c r="Z118" t="s">
        <v>2166</v>
      </c>
      <c r="AA118" t="s">
        <v>2166</v>
      </c>
    </row>
    <row r="119" spans="1:34" x14ac:dyDescent="0.3">
      <c r="A119" s="1">
        <v>171</v>
      </c>
      <c r="B119" s="2" t="s">
        <v>149</v>
      </c>
      <c r="C119" t="s">
        <v>323</v>
      </c>
      <c r="D119">
        <v>2021</v>
      </c>
      <c r="E119">
        <v>3</v>
      </c>
      <c r="F119">
        <v>6</v>
      </c>
      <c r="G119" t="s">
        <v>561</v>
      </c>
      <c r="H119" t="s">
        <v>665</v>
      </c>
      <c r="I119" t="s">
        <v>987</v>
      </c>
      <c r="J119" t="s">
        <v>1264</v>
      </c>
      <c r="L119" t="s">
        <v>1686</v>
      </c>
      <c r="M119" t="s">
        <v>1838</v>
      </c>
      <c r="N119" t="s">
        <v>1686</v>
      </c>
      <c r="O119" t="s">
        <v>1838</v>
      </c>
      <c r="P119" t="s">
        <v>2062</v>
      </c>
      <c r="R119" t="s">
        <v>2110</v>
      </c>
      <c r="Z119" t="s">
        <v>2168</v>
      </c>
      <c r="AB119" t="s">
        <v>2166</v>
      </c>
      <c r="AC119" t="s">
        <v>2166</v>
      </c>
    </row>
    <row r="120" spans="1:34" x14ac:dyDescent="0.3">
      <c r="A120" s="1">
        <v>172</v>
      </c>
      <c r="C120" t="s">
        <v>324</v>
      </c>
      <c r="D120">
        <v>2016</v>
      </c>
      <c r="E120">
        <v>3</v>
      </c>
      <c r="F120">
        <v>3</v>
      </c>
      <c r="G120" t="s">
        <v>561</v>
      </c>
      <c r="H120" t="s">
        <v>666</v>
      </c>
      <c r="I120" t="s">
        <v>988</v>
      </c>
      <c r="J120" t="s">
        <v>645</v>
      </c>
      <c r="K120" t="s">
        <v>967</v>
      </c>
      <c r="L120" t="s">
        <v>1687</v>
      </c>
      <c r="M120" t="s">
        <v>1839</v>
      </c>
      <c r="Z120" t="s">
        <v>2168</v>
      </c>
      <c r="AA120" t="s">
        <v>2166</v>
      </c>
      <c r="AB120" t="s">
        <v>2168</v>
      </c>
    </row>
    <row r="121" spans="1:34" x14ac:dyDescent="0.3">
      <c r="A121" s="1">
        <v>174</v>
      </c>
      <c r="B121" s="2" t="s">
        <v>150</v>
      </c>
      <c r="C121" t="s">
        <v>324</v>
      </c>
      <c r="D121">
        <v>2016</v>
      </c>
      <c r="E121">
        <v>3</v>
      </c>
      <c r="F121">
        <v>3</v>
      </c>
      <c r="G121" t="s">
        <v>561</v>
      </c>
      <c r="H121" t="s">
        <v>666</v>
      </c>
      <c r="I121" t="s">
        <v>988</v>
      </c>
      <c r="J121" t="s">
        <v>645</v>
      </c>
      <c r="K121" t="s">
        <v>967</v>
      </c>
      <c r="L121" t="s">
        <v>1687</v>
      </c>
      <c r="M121" t="s">
        <v>1839</v>
      </c>
      <c r="Z121" t="s">
        <v>2168</v>
      </c>
      <c r="AA121" t="s">
        <v>2166</v>
      </c>
      <c r="AB121" t="s">
        <v>2168</v>
      </c>
    </row>
    <row r="122" spans="1:34" x14ac:dyDescent="0.3">
      <c r="A122" s="1">
        <v>175</v>
      </c>
      <c r="B122" s="2" t="s">
        <v>151</v>
      </c>
      <c r="C122" t="s">
        <v>325</v>
      </c>
      <c r="D122">
        <v>2015</v>
      </c>
      <c r="E122">
        <v>2</v>
      </c>
      <c r="F122">
        <v>2</v>
      </c>
      <c r="G122" t="s">
        <v>561</v>
      </c>
      <c r="H122" t="s">
        <v>631</v>
      </c>
      <c r="I122" t="s">
        <v>953</v>
      </c>
      <c r="J122" t="s">
        <v>1215</v>
      </c>
      <c r="K122" t="s">
        <v>1447</v>
      </c>
      <c r="Z122" t="s">
        <v>2168</v>
      </c>
      <c r="AA122" t="s">
        <v>2166</v>
      </c>
    </row>
    <row r="123" spans="1:34" x14ac:dyDescent="0.3">
      <c r="A123" s="1">
        <v>189</v>
      </c>
      <c r="B123" s="2" t="s">
        <v>152</v>
      </c>
      <c r="C123" t="s">
        <v>326</v>
      </c>
      <c r="D123">
        <v>2016</v>
      </c>
      <c r="E123">
        <v>2</v>
      </c>
      <c r="F123">
        <v>1</v>
      </c>
      <c r="G123" t="s">
        <v>561</v>
      </c>
      <c r="H123" t="s">
        <v>667</v>
      </c>
      <c r="I123" t="s">
        <v>989</v>
      </c>
      <c r="Z123" t="s">
        <v>2166</v>
      </c>
    </row>
    <row r="124" spans="1:34" x14ac:dyDescent="0.3">
      <c r="A124" s="1">
        <v>190</v>
      </c>
      <c r="B124" s="2" t="s">
        <v>153</v>
      </c>
      <c r="C124" t="s">
        <v>327</v>
      </c>
      <c r="D124">
        <v>2017</v>
      </c>
      <c r="E124">
        <v>2</v>
      </c>
      <c r="F124">
        <v>3</v>
      </c>
      <c r="G124" t="s">
        <v>561</v>
      </c>
      <c r="H124" t="s">
        <v>668</v>
      </c>
      <c r="I124" t="s">
        <v>990</v>
      </c>
      <c r="J124" t="s">
        <v>1229</v>
      </c>
      <c r="K124" t="s">
        <v>1460</v>
      </c>
      <c r="L124" t="s">
        <v>1688</v>
      </c>
      <c r="M124" t="s">
        <v>1840</v>
      </c>
      <c r="Z124" t="s">
        <v>2167</v>
      </c>
      <c r="AA124" t="s">
        <v>2166</v>
      </c>
      <c r="AB124" t="s">
        <v>2166</v>
      </c>
    </row>
    <row r="125" spans="1:34" x14ac:dyDescent="0.3">
      <c r="A125" s="1">
        <v>191</v>
      </c>
      <c r="B125" s="2" t="s">
        <v>154</v>
      </c>
      <c r="C125" t="s">
        <v>328</v>
      </c>
      <c r="D125">
        <v>2018</v>
      </c>
      <c r="E125">
        <v>2</v>
      </c>
      <c r="F125">
        <v>2</v>
      </c>
      <c r="G125" t="s">
        <v>561</v>
      </c>
      <c r="H125" t="s">
        <v>669</v>
      </c>
      <c r="I125" t="s">
        <v>991</v>
      </c>
      <c r="J125" t="s">
        <v>1265</v>
      </c>
      <c r="K125" t="s">
        <v>1493</v>
      </c>
      <c r="Z125" t="s">
        <v>2167</v>
      </c>
      <c r="AA125" t="s">
        <v>2168</v>
      </c>
    </row>
    <row r="126" spans="1:34" x14ac:dyDescent="0.3">
      <c r="A126" s="1">
        <v>192</v>
      </c>
      <c r="B126" s="2" t="s">
        <v>155</v>
      </c>
      <c r="C126" t="s">
        <v>329</v>
      </c>
      <c r="D126">
        <v>2018</v>
      </c>
      <c r="E126">
        <v>2</v>
      </c>
      <c r="F126">
        <v>1</v>
      </c>
      <c r="G126" t="s">
        <v>561</v>
      </c>
      <c r="H126" t="s">
        <v>670</v>
      </c>
      <c r="I126" t="s">
        <v>992</v>
      </c>
      <c r="Z126" t="s">
        <v>2168</v>
      </c>
    </row>
    <row r="127" spans="1:34" x14ac:dyDescent="0.3">
      <c r="A127" s="1">
        <v>193</v>
      </c>
      <c r="B127" s="2" t="s">
        <v>156</v>
      </c>
      <c r="C127" t="s">
        <v>330</v>
      </c>
      <c r="D127">
        <v>2018</v>
      </c>
      <c r="E127">
        <v>2</v>
      </c>
      <c r="F127">
        <v>1</v>
      </c>
      <c r="G127" t="s">
        <v>561</v>
      </c>
      <c r="H127" t="s">
        <v>671</v>
      </c>
      <c r="I127" t="s">
        <v>993</v>
      </c>
      <c r="Z127" t="s">
        <v>2168</v>
      </c>
    </row>
    <row r="128" spans="1:34" x14ac:dyDescent="0.3">
      <c r="A128" s="1">
        <v>194</v>
      </c>
      <c r="B128" s="2" t="s">
        <v>157</v>
      </c>
      <c r="C128" t="s">
        <v>331</v>
      </c>
      <c r="D128">
        <v>2019</v>
      </c>
      <c r="E128">
        <v>2</v>
      </c>
      <c r="F128">
        <v>3</v>
      </c>
      <c r="G128" t="s">
        <v>561</v>
      </c>
      <c r="H128" t="s">
        <v>672</v>
      </c>
      <c r="I128" t="s">
        <v>994</v>
      </c>
      <c r="J128" t="s">
        <v>1266</v>
      </c>
      <c r="K128" t="s">
        <v>1494</v>
      </c>
      <c r="L128" t="s">
        <v>1689</v>
      </c>
      <c r="M128" t="s">
        <v>1841</v>
      </c>
      <c r="Z128" t="s">
        <v>2166</v>
      </c>
      <c r="AA128" t="s">
        <v>2166</v>
      </c>
      <c r="AB128" t="s">
        <v>2167</v>
      </c>
    </row>
    <row r="129" spans="1:31" x14ac:dyDescent="0.3">
      <c r="A129" s="1">
        <v>195</v>
      </c>
      <c r="B129" s="2" t="s">
        <v>158</v>
      </c>
      <c r="C129" t="s">
        <v>332</v>
      </c>
      <c r="D129">
        <v>2018</v>
      </c>
      <c r="E129">
        <v>2</v>
      </c>
      <c r="F129">
        <v>3</v>
      </c>
      <c r="G129" t="s">
        <v>561</v>
      </c>
      <c r="H129" t="s">
        <v>673</v>
      </c>
      <c r="I129" t="s">
        <v>995</v>
      </c>
      <c r="J129" t="s">
        <v>1267</v>
      </c>
      <c r="K129" t="s">
        <v>1495</v>
      </c>
      <c r="L129" t="s">
        <v>1690</v>
      </c>
      <c r="M129" t="s">
        <v>1842</v>
      </c>
      <c r="Z129" t="s">
        <v>2168</v>
      </c>
      <c r="AA129" t="s">
        <v>2166</v>
      </c>
      <c r="AB129" t="s">
        <v>2168</v>
      </c>
    </row>
    <row r="130" spans="1:31" x14ac:dyDescent="0.3">
      <c r="A130" s="1">
        <v>196</v>
      </c>
      <c r="B130" s="2" t="s">
        <v>159</v>
      </c>
      <c r="C130" t="s">
        <v>333</v>
      </c>
      <c r="D130">
        <v>2019</v>
      </c>
      <c r="E130">
        <v>2</v>
      </c>
      <c r="F130">
        <v>2</v>
      </c>
      <c r="G130" t="s">
        <v>561</v>
      </c>
      <c r="H130" t="s">
        <v>674</v>
      </c>
      <c r="I130" t="s">
        <v>996</v>
      </c>
      <c r="J130" t="s">
        <v>1268</v>
      </c>
      <c r="K130" t="s">
        <v>1496</v>
      </c>
      <c r="Z130" t="s">
        <v>2168</v>
      </c>
      <c r="AA130" t="s">
        <v>2166</v>
      </c>
    </row>
    <row r="131" spans="1:31" x14ac:dyDescent="0.3">
      <c r="A131" s="1">
        <v>197</v>
      </c>
      <c r="B131" s="2" t="s">
        <v>160</v>
      </c>
      <c r="C131" t="s">
        <v>334</v>
      </c>
      <c r="D131">
        <v>2019</v>
      </c>
      <c r="E131">
        <v>2</v>
      </c>
      <c r="F131">
        <v>3</v>
      </c>
      <c r="G131" t="s">
        <v>561</v>
      </c>
      <c r="H131" t="s">
        <v>675</v>
      </c>
      <c r="I131" t="s">
        <v>997</v>
      </c>
      <c r="J131" t="s">
        <v>1269</v>
      </c>
      <c r="K131" t="s">
        <v>1497</v>
      </c>
      <c r="L131" t="s">
        <v>1691</v>
      </c>
      <c r="M131" t="s">
        <v>1843</v>
      </c>
      <c r="Z131" t="s">
        <v>2167</v>
      </c>
      <c r="AA131" t="s">
        <v>2166</v>
      </c>
      <c r="AB131" t="s">
        <v>2167</v>
      </c>
    </row>
    <row r="132" spans="1:31" x14ac:dyDescent="0.3">
      <c r="A132" s="1">
        <v>198</v>
      </c>
      <c r="B132" s="2" t="s">
        <v>161</v>
      </c>
      <c r="C132" t="s">
        <v>335</v>
      </c>
      <c r="D132">
        <v>2019</v>
      </c>
      <c r="E132">
        <v>2</v>
      </c>
      <c r="F132">
        <v>3</v>
      </c>
      <c r="G132" t="s">
        <v>561</v>
      </c>
      <c r="H132" t="s">
        <v>676</v>
      </c>
      <c r="I132" t="s">
        <v>998</v>
      </c>
      <c r="J132" t="s">
        <v>1270</v>
      </c>
      <c r="K132" t="s">
        <v>1498</v>
      </c>
      <c r="L132" t="s">
        <v>1692</v>
      </c>
      <c r="M132" t="s">
        <v>1844</v>
      </c>
      <c r="Z132" t="s">
        <v>2166</v>
      </c>
      <c r="AA132" t="s">
        <v>2168</v>
      </c>
      <c r="AB132" t="s">
        <v>2166</v>
      </c>
    </row>
    <row r="133" spans="1:31" x14ac:dyDescent="0.3">
      <c r="A133" s="1">
        <v>199</v>
      </c>
      <c r="B133" s="2" t="s">
        <v>162</v>
      </c>
      <c r="C133" t="s">
        <v>336</v>
      </c>
      <c r="D133">
        <v>2019</v>
      </c>
      <c r="E133">
        <v>2</v>
      </c>
      <c r="F133">
        <v>2</v>
      </c>
      <c r="G133" t="s">
        <v>561</v>
      </c>
      <c r="H133" t="s">
        <v>677</v>
      </c>
      <c r="I133" t="s">
        <v>999</v>
      </c>
      <c r="J133" t="s">
        <v>1271</v>
      </c>
      <c r="K133" t="s">
        <v>1499</v>
      </c>
      <c r="Z133" t="s">
        <v>2166</v>
      </c>
      <c r="AA133" t="s">
        <v>2168</v>
      </c>
    </row>
    <row r="134" spans="1:31" x14ac:dyDescent="0.3">
      <c r="A134" s="1">
        <v>200</v>
      </c>
      <c r="B134" s="2" t="s">
        <v>163</v>
      </c>
      <c r="C134" t="s">
        <v>337</v>
      </c>
      <c r="D134">
        <v>2019</v>
      </c>
      <c r="E134">
        <v>2</v>
      </c>
      <c r="F134">
        <v>1</v>
      </c>
      <c r="G134" t="s">
        <v>561</v>
      </c>
      <c r="H134" t="s">
        <v>590</v>
      </c>
      <c r="I134" t="s">
        <v>912</v>
      </c>
      <c r="Z134" t="s">
        <v>2166</v>
      </c>
    </row>
    <row r="135" spans="1:31" x14ac:dyDescent="0.3">
      <c r="A135" s="1">
        <v>201</v>
      </c>
      <c r="B135" s="2" t="s">
        <v>164</v>
      </c>
      <c r="C135" t="s">
        <v>338</v>
      </c>
      <c r="D135">
        <v>2020</v>
      </c>
      <c r="E135">
        <v>2</v>
      </c>
      <c r="F135">
        <v>4</v>
      </c>
      <c r="G135" t="s">
        <v>561</v>
      </c>
      <c r="H135" t="s">
        <v>595</v>
      </c>
      <c r="I135" t="s">
        <v>917</v>
      </c>
      <c r="J135" t="s">
        <v>1272</v>
      </c>
      <c r="K135" t="s">
        <v>1500</v>
      </c>
      <c r="L135" t="s">
        <v>1693</v>
      </c>
      <c r="M135" t="s">
        <v>1845</v>
      </c>
      <c r="N135" t="s">
        <v>593</v>
      </c>
      <c r="O135" t="s">
        <v>915</v>
      </c>
      <c r="Z135" t="s">
        <v>2166</v>
      </c>
      <c r="AA135" t="s">
        <v>2166</v>
      </c>
      <c r="AB135" t="s">
        <v>2168</v>
      </c>
      <c r="AC135" t="s">
        <v>2168</v>
      </c>
    </row>
    <row r="136" spans="1:31" x14ac:dyDescent="0.3">
      <c r="A136" s="1">
        <v>202</v>
      </c>
      <c r="B136" s="2" t="s">
        <v>165</v>
      </c>
      <c r="C136" t="s">
        <v>339</v>
      </c>
      <c r="D136">
        <v>2020</v>
      </c>
      <c r="E136">
        <v>2</v>
      </c>
      <c r="F136">
        <v>2</v>
      </c>
      <c r="G136" t="s">
        <v>561</v>
      </c>
      <c r="H136" t="s">
        <v>678</v>
      </c>
      <c r="I136" t="s">
        <v>1000</v>
      </c>
      <c r="J136" t="s">
        <v>570</v>
      </c>
      <c r="K136" t="s">
        <v>892</v>
      </c>
      <c r="Z136" t="s">
        <v>2167</v>
      </c>
      <c r="AA136" t="s">
        <v>2168</v>
      </c>
    </row>
    <row r="137" spans="1:31" x14ac:dyDescent="0.3">
      <c r="A137" s="1">
        <v>203</v>
      </c>
      <c r="B137" s="2" t="s">
        <v>166</v>
      </c>
      <c r="C137" t="s">
        <v>340</v>
      </c>
      <c r="D137">
        <v>2020</v>
      </c>
      <c r="E137">
        <v>2</v>
      </c>
      <c r="F137">
        <v>2</v>
      </c>
      <c r="G137" t="s">
        <v>561</v>
      </c>
      <c r="H137" t="s">
        <v>679</v>
      </c>
      <c r="I137" t="s">
        <v>1001</v>
      </c>
      <c r="J137" t="s">
        <v>1273</v>
      </c>
      <c r="K137" t="s">
        <v>1501</v>
      </c>
      <c r="Z137" t="s">
        <v>2166</v>
      </c>
      <c r="AA137" t="s">
        <v>2168</v>
      </c>
    </row>
    <row r="138" spans="1:31" x14ac:dyDescent="0.3">
      <c r="A138" s="1">
        <v>204</v>
      </c>
      <c r="B138" s="2" t="s">
        <v>167</v>
      </c>
      <c r="C138" t="s">
        <v>341</v>
      </c>
      <c r="D138">
        <v>2017</v>
      </c>
      <c r="E138">
        <v>2</v>
      </c>
      <c r="F138">
        <v>3</v>
      </c>
      <c r="G138" t="s">
        <v>561</v>
      </c>
      <c r="H138" t="s">
        <v>680</v>
      </c>
      <c r="I138" t="s">
        <v>1002</v>
      </c>
      <c r="J138" t="s">
        <v>693</v>
      </c>
      <c r="K138" t="s">
        <v>1015</v>
      </c>
      <c r="L138" t="s">
        <v>1694</v>
      </c>
      <c r="M138" t="s">
        <v>1511</v>
      </c>
      <c r="Z138" t="s">
        <v>2168</v>
      </c>
      <c r="AA138" t="s">
        <v>2166</v>
      </c>
      <c r="AB138" t="s">
        <v>2166</v>
      </c>
    </row>
    <row r="139" spans="1:31" x14ac:dyDescent="0.3">
      <c r="A139" s="1">
        <v>206</v>
      </c>
      <c r="B139" s="2" t="s">
        <v>168</v>
      </c>
      <c r="C139" t="s">
        <v>342</v>
      </c>
      <c r="D139">
        <v>2021</v>
      </c>
      <c r="E139">
        <v>2</v>
      </c>
      <c r="F139">
        <v>6</v>
      </c>
      <c r="G139" t="s">
        <v>561</v>
      </c>
      <c r="H139" t="s">
        <v>681</v>
      </c>
      <c r="I139" t="s">
        <v>1003</v>
      </c>
      <c r="J139" t="s">
        <v>1274</v>
      </c>
      <c r="K139" t="s">
        <v>1502</v>
      </c>
      <c r="L139" t="s">
        <v>1695</v>
      </c>
      <c r="M139" t="s">
        <v>1846</v>
      </c>
      <c r="N139" t="s">
        <v>1953</v>
      </c>
      <c r="O139" t="s">
        <v>2013</v>
      </c>
      <c r="P139" t="s">
        <v>2063</v>
      </c>
      <c r="Q139" t="s">
        <v>2088</v>
      </c>
      <c r="R139" t="s">
        <v>2111</v>
      </c>
      <c r="S139" t="s">
        <v>2126</v>
      </c>
      <c r="Z139" t="s">
        <v>2167</v>
      </c>
      <c r="AA139" t="s">
        <v>2166</v>
      </c>
      <c r="AB139" t="s">
        <v>2166</v>
      </c>
      <c r="AC139" t="s">
        <v>2166</v>
      </c>
      <c r="AD139" t="s">
        <v>2168</v>
      </c>
      <c r="AE139" t="s">
        <v>2166</v>
      </c>
    </row>
    <row r="140" spans="1:31" x14ac:dyDescent="0.3">
      <c r="A140" s="1">
        <v>207</v>
      </c>
      <c r="B140" s="2" t="s">
        <v>169</v>
      </c>
      <c r="C140" t="s">
        <v>343</v>
      </c>
      <c r="D140">
        <v>2021</v>
      </c>
      <c r="E140">
        <v>2</v>
      </c>
      <c r="F140">
        <v>4</v>
      </c>
      <c r="G140" t="s">
        <v>561</v>
      </c>
      <c r="H140" t="s">
        <v>610</v>
      </c>
      <c r="I140" t="s">
        <v>932</v>
      </c>
      <c r="J140" t="s">
        <v>1275</v>
      </c>
      <c r="K140" t="s">
        <v>1503</v>
      </c>
      <c r="L140" t="s">
        <v>1696</v>
      </c>
      <c r="M140" t="s">
        <v>1847</v>
      </c>
      <c r="N140" t="s">
        <v>1954</v>
      </c>
      <c r="O140" t="s">
        <v>2014</v>
      </c>
      <c r="Z140" t="s">
        <v>2166</v>
      </c>
      <c r="AA140" t="s">
        <v>2166</v>
      </c>
      <c r="AB140" t="s">
        <v>2167</v>
      </c>
      <c r="AC140" t="s">
        <v>2167</v>
      </c>
    </row>
    <row r="141" spans="1:31" x14ac:dyDescent="0.3">
      <c r="A141" s="1">
        <v>208</v>
      </c>
      <c r="B141" s="2" t="s">
        <v>170</v>
      </c>
      <c r="C141" t="s">
        <v>344</v>
      </c>
      <c r="D141">
        <v>2021</v>
      </c>
      <c r="E141">
        <v>2</v>
      </c>
      <c r="F141">
        <v>2</v>
      </c>
      <c r="G141" t="s">
        <v>561</v>
      </c>
      <c r="H141" t="s">
        <v>682</v>
      </c>
      <c r="I141" t="s">
        <v>1004</v>
      </c>
      <c r="J141" t="s">
        <v>1276</v>
      </c>
      <c r="Z141" t="s">
        <v>2168</v>
      </c>
    </row>
    <row r="142" spans="1:31" x14ac:dyDescent="0.3">
      <c r="A142" s="1">
        <v>209</v>
      </c>
      <c r="C142" t="s">
        <v>345</v>
      </c>
      <c r="D142">
        <v>2019</v>
      </c>
      <c r="E142">
        <v>2</v>
      </c>
      <c r="F142">
        <v>4</v>
      </c>
      <c r="G142" t="s">
        <v>561</v>
      </c>
      <c r="H142" t="s">
        <v>683</v>
      </c>
      <c r="I142" t="s">
        <v>1005</v>
      </c>
      <c r="J142" t="s">
        <v>1277</v>
      </c>
      <c r="K142" t="s">
        <v>1504</v>
      </c>
      <c r="L142" t="s">
        <v>1697</v>
      </c>
      <c r="M142" t="s">
        <v>1848</v>
      </c>
      <c r="N142" t="s">
        <v>1955</v>
      </c>
      <c r="O142" t="s">
        <v>2015</v>
      </c>
      <c r="Z142" t="s">
        <v>2166</v>
      </c>
      <c r="AA142" t="s">
        <v>2167</v>
      </c>
      <c r="AB142" t="s">
        <v>2166</v>
      </c>
      <c r="AC142" t="s">
        <v>2167</v>
      </c>
    </row>
    <row r="143" spans="1:31" x14ac:dyDescent="0.3">
      <c r="A143" s="1">
        <v>210</v>
      </c>
      <c r="B143" s="2" t="s">
        <v>171</v>
      </c>
      <c r="C143" t="s">
        <v>346</v>
      </c>
      <c r="D143">
        <v>2017</v>
      </c>
      <c r="E143">
        <v>2</v>
      </c>
      <c r="F143">
        <v>4</v>
      </c>
      <c r="G143" t="s">
        <v>561</v>
      </c>
      <c r="H143" t="s">
        <v>684</v>
      </c>
      <c r="I143" t="s">
        <v>1006</v>
      </c>
      <c r="J143" t="s">
        <v>1278</v>
      </c>
      <c r="K143" t="s">
        <v>1505</v>
      </c>
      <c r="L143" t="s">
        <v>1698</v>
      </c>
      <c r="M143" t="s">
        <v>1849</v>
      </c>
      <c r="N143" t="s">
        <v>1956</v>
      </c>
      <c r="O143" t="s">
        <v>2016</v>
      </c>
      <c r="Z143" t="s">
        <v>2166</v>
      </c>
      <c r="AA143" t="s">
        <v>2167</v>
      </c>
      <c r="AB143" t="s">
        <v>2166</v>
      </c>
      <c r="AC143" t="s">
        <v>2166</v>
      </c>
    </row>
    <row r="144" spans="1:31" x14ac:dyDescent="0.3">
      <c r="A144" s="1">
        <v>238</v>
      </c>
      <c r="C144" t="s">
        <v>347</v>
      </c>
      <c r="D144">
        <v>2017</v>
      </c>
      <c r="E144">
        <v>1</v>
      </c>
      <c r="F144">
        <v>2</v>
      </c>
      <c r="G144" t="s">
        <v>561</v>
      </c>
      <c r="H144" t="s">
        <v>685</v>
      </c>
      <c r="I144" t="s">
        <v>1007</v>
      </c>
      <c r="J144" t="s">
        <v>1279</v>
      </c>
      <c r="K144" t="s">
        <v>1506</v>
      </c>
      <c r="Z144" t="s">
        <v>2166</v>
      </c>
      <c r="AA144" t="s">
        <v>2166</v>
      </c>
    </row>
    <row r="145" spans="1:30" x14ac:dyDescent="0.3">
      <c r="A145" s="1">
        <v>239</v>
      </c>
      <c r="C145" t="s">
        <v>348</v>
      </c>
      <c r="D145">
        <v>2017</v>
      </c>
      <c r="E145">
        <v>1</v>
      </c>
      <c r="F145">
        <v>3</v>
      </c>
      <c r="G145" t="s">
        <v>561</v>
      </c>
      <c r="H145" t="s">
        <v>640</v>
      </c>
      <c r="I145" t="s">
        <v>962</v>
      </c>
      <c r="J145" t="s">
        <v>1245</v>
      </c>
      <c r="K145" t="s">
        <v>1475</v>
      </c>
      <c r="L145" t="s">
        <v>1672</v>
      </c>
      <c r="M145" t="s">
        <v>1824</v>
      </c>
      <c r="Z145" t="s">
        <v>2168</v>
      </c>
      <c r="AA145" t="s">
        <v>2166</v>
      </c>
      <c r="AB145" t="s">
        <v>2168</v>
      </c>
    </row>
    <row r="146" spans="1:30" x14ac:dyDescent="0.3">
      <c r="A146" s="1">
        <v>240</v>
      </c>
      <c r="B146" s="2" t="s">
        <v>172</v>
      </c>
      <c r="C146" t="s">
        <v>349</v>
      </c>
      <c r="D146">
        <v>2018</v>
      </c>
      <c r="E146">
        <v>1</v>
      </c>
      <c r="F146">
        <v>2</v>
      </c>
      <c r="G146" t="s">
        <v>561</v>
      </c>
      <c r="H146" t="s">
        <v>686</v>
      </c>
      <c r="I146" t="s">
        <v>1008</v>
      </c>
      <c r="J146" t="s">
        <v>1280</v>
      </c>
      <c r="K146" t="s">
        <v>1507</v>
      </c>
      <c r="Z146" t="s">
        <v>2168</v>
      </c>
      <c r="AA146" t="s">
        <v>2166</v>
      </c>
    </row>
    <row r="147" spans="1:30" x14ac:dyDescent="0.3">
      <c r="A147" s="1">
        <v>241</v>
      </c>
      <c r="C147" t="s">
        <v>350</v>
      </c>
      <c r="D147">
        <v>2019</v>
      </c>
      <c r="E147">
        <v>1</v>
      </c>
      <c r="F147">
        <v>2</v>
      </c>
      <c r="G147" t="s">
        <v>561</v>
      </c>
      <c r="H147" t="s">
        <v>687</v>
      </c>
      <c r="I147" t="s">
        <v>1009</v>
      </c>
      <c r="J147" t="s">
        <v>746</v>
      </c>
      <c r="K147" t="s">
        <v>1064</v>
      </c>
      <c r="Z147" t="s">
        <v>2167</v>
      </c>
      <c r="AA147" t="s">
        <v>2167</v>
      </c>
    </row>
    <row r="148" spans="1:30" x14ac:dyDescent="0.3">
      <c r="A148" s="1">
        <v>242</v>
      </c>
      <c r="B148" s="2" t="s">
        <v>173</v>
      </c>
      <c r="C148" t="s">
        <v>351</v>
      </c>
      <c r="D148">
        <v>2019</v>
      </c>
      <c r="E148">
        <v>1</v>
      </c>
      <c r="F148">
        <v>2</v>
      </c>
      <c r="G148" t="s">
        <v>561</v>
      </c>
      <c r="H148" t="s">
        <v>688</v>
      </c>
      <c r="I148" t="s">
        <v>1010</v>
      </c>
      <c r="J148" t="s">
        <v>1281</v>
      </c>
      <c r="K148" t="s">
        <v>1508</v>
      </c>
      <c r="Z148" t="s">
        <v>2166</v>
      </c>
      <c r="AA148" t="s">
        <v>2167</v>
      </c>
    </row>
    <row r="149" spans="1:30" x14ac:dyDescent="0.3">
      <c r="A149" s="1">
        <v>243</v>
      </c>
      <c r="B149" s="2" t="s">
        <v>174</v>
      </c>
      <c r="C149" t="s">
        <v>352</v>
      </c>
      <c r="D149">
        <v>2019</v>
      </c>
      <c r="E149">
        <v>1</v>
      </c>
      <c r="F149">
        <v>3</v>
      </c>
      <c r="G149" t="s">
        <v>561</v>
      </c>
      <c r="H149" t="s">
        <v>689</v>
      </c>
      <c r="I149" t="s">
        <v>1011</v>
      </c>
      <c r="J149" t="s">
        <v>1282</v>
      </c>
      <c r="K149" t="s">
        <v>1509</v>
      </c>
      <c r="L149" t="s">
        <v>1699</v>
      </c>
      <c r="M149" t="s">
        <v>1850</v>
      </c>
      <c r="Z149" t="s">
        <v>2166</v>
      </c>
      <c r="AA149" t="s">
        <v>2166</v>
      </c>
      <c r="AB149" t="s">
        <v>2166</v>
      </c>
    </row>
    <row r="150" spans="1:30" x14ac:dyDescent="0.3">
      <c r="A150" s="1">
        <v>244</v>
      </c>
      <c r="B150" s="2" t="s">
        <v>175</v>
      </c>
      <c r="C150" t="s">
        <v>353</v>
      </c>
      <c r="D150">
        <v>2020</v>
      </c>
      <c r="E150">
        <v>1</v>
      </c>
      <c r="F150">
        <v>1</v>
      </c>
      <c r="G150" t="s">
        <v>561</v>
      </c>
      <c r="H150" t="s">
        <v>690</v>
      </c>
      <c r="I150" t="s">
        <v>1012</v>
      </c>
      <c r="Z150" t="s">
        <v>2166</v>
      </c>
    </row>
    <row r="151" spans="1:30" x14ac:dyDescent="0.3">
      <c r="A151" s="1">
        <v>245</v>
      </c>
      <c r="B151" s="2" t="s">
        <v>176</v>
      </c>
      <c r="C151" t="s">
        <v>354</v>
      </c>
      <c r="D151">
        <v>2020</v>
      </c>
      <c r="E151">
        <v>1</v>
      </c>
      <c r="F151">
        <v>3</v>
      </c>
      <c r="G151" t="s">
        <v>561</v>
      </c>
      <c r="H151" t="s">
        <v>691</v>
      </c>
      <c r="I151" t="s">
        <v>1013</v>
      </c>
      <c r="J151" t="s">
        <v>1283</v>
      </c>
      <c r="K151" t="s">
        <v>991</v>
      </c>
      <c r="L151" t="s">
        <v>1700</v>
      </c>
      <c r="M151" t="s">
        <v>1851</v>
      </c>
      <c r="Z151" t="s">
        <v>2166</v>
      </c>
      <c r="AA151" t="s">
        <v>2167</v>
      </c>
      <c r="AB151" t="s">
        <v>2166</v>
      </c>
    </row>
    <row r="152" spans="1:30" x14ac:dyDescent="0.3">
      <c r="A152" s="1">
        <v>246</v>
      </c>
      <c r="B152" s="2" t="s">
        <v>177</v>
      </c>
      <c r="C152" t="s">
        <v>355</v>
      </c>
      <c r="D152">
        <v>2020</v>
      </c>
      <c r="E152">
        <v>1</v>
      </c>
      <c r="F152">
        <v>1</v>
      </c>
      <c r="G152" t="s">
        <v>561</v>
      </c>
      <c r="H152" t="s">
        <v>570</v>
      </c>
      <c r="I152" t="s">
        <v>892</v>
      </c>
      <c r="Z152" t="s">
        <v>2168</v>
      </c>
    </row>
    <row r="153" spans="1:30" x14ac:dyDescent="0.3">
      <c r="A153" s="1">
        <v>247</v>
      </c>
      <c r="B153" s="2" t="s">
        <v>178</v>
      </c>
      <c r="C153" t="s">
        <v>356</v>
      </c>
      <c r="D153">
        <v>2020</v>
      </c>
      <c r="E153">
        <v>1</v>
      </c>
      <c r="F153">
        <v>1</v>
      </c>
      <c r="G153" t="s">
        <v>561</v>
      </c>
      <c r="H153" t="s">
        <v>601</v>
      </c>
      <c r="I153" t="s">
        <v>923</v>
      </c>
      <c r="Z153" t="s">
        <v>2166</v>
      </c>
    </row>
    <row r="154" spans="1:30" x14ac:dyDescent="0.3">
      <c r="A154" s="1">
        <v>248</v>
      </c>
      <c r="B154" s="2" t="s">
        <v>179</v>
      </c>
      <c r="C154" t="s">
        <v>357</v>
      </c>
      <c r="D154">
        <v>2021</v>
      </c>
      <c r="E154">
        <v>1</v>
      </c>
      <c r="F154">
        <v>3</v>
      </c>
      <c r="G154" t="s">
        <v>561</v>
      </c>
      <c r="H154" t="s">
        <v>692</v>
      </c>
      <c r="I154" t="s">
        <v>1014</v>
      </c>
      <c r="J154" t="s">
        <v>1284</v>
      </c>
      <c r="K154" t="s">
        <v>1510</v>
      </c>
      <c r="L154" t="s">
        <v>1701</v>
      </c>
      <c r="M154" t="s">
        <v>1852</v>
      </c>
      <c r="Z154" t="s">
        <v>2166</v>
      </c>
      <c r="AA154" t="s">
        <v>2166</v>
      </c>
      <c r="AB154" t="s">
        <v>2167</v>
      </c>
    </row>
    <row r="155" spans="1:30" x14ac:dyDescent="0.3">
      <c r="A155" s="1">
        <v>249</v>
      </c>
      <c r="C155" t="s">
        <v>341</v>
      </c>
      <c r="D155">
        <v>2017</v>
      </c>
      <c r="E155">
        <v>1</v>
      </c>
      <c r="F155">
        <v>3</v>
      </c>
      <c r="G155" t="s">
        <v>561</v>
      </c>
      <c r="H155" t="s">
        <v>693</v>
      </c>
      <c r="I155" t="s">
        <v>1015</v>
      </c>
      <c r="J155" t="s">
        <v>1285</v>
      </c>
      <c r="K155" t="s">
        <v>1511</v>
      </c>
      <c r="L155" t="s">
        <v>1702</v>
      </c>
      <c r="M155" t="s">
        <v>1002</v>
      </c>
      <c r="Z155" t="s">
        <v>2166</v>
      </c>
      <c r="AA155" t="s">
        <v>2166</v>
      </c>
      <c r="AB155" t="s">
        <v>2168</v>
      </c>
    </row>
    <row r="156" spans="1:30" x14ac:dyDescent="0.3">
      <c r="A156" s="1">
        <v>250</v>
      </c>
      <c r="B156" s="2" t="s">
        <v>180</v>
      </c>
      <c r="C156" t="s">
        <v>358</v>
      </c>
      <c r="D156">
        <v>2021</v>
      </c>
      <c r="E156">
        <v>1</v>
      </c>
      <c r="F156">
        <v>5</v>
      </c>
      <c r="G156" t="s">
        <v>561</v>
      </c>
      <c r="H156" t="s">
        <v>694</v>
      </c>
      <c r="I156" t="s">
        <v>1016</v>
      </c>
      <c r="J156" t="s">
        <v>1286</v>
      </c>
      <c r="K156" t="s">
        <v>1512</v>
      </c>
      <c r="L156" t="s">
        <v>1703</v>
      </c>
      <c r="M156" t="s">
        <v>1853</v>
      </c>
      <c r="N156" t="s">
        <v>1957</v>
      </c>
      <c r="O156" t="s">
        <v>2017</v>
      </c>
      <c r="P156" t="s">
        <v>2064</v>
      </c>
      <c r="Q156" t="s">
        <v>2089</v>
      </c>
      <c r="Z156" t="s">
        <v>2166</v>
      </c>
      <c r="AA156" t="s">
        <v>2166</v>
      </c>
      <c r="AB156" t="s">
        <v>2166</v>
      </c>
      <c r="AC156" t="s">
        <v>2166</v>
      </c>
      <c r="AD156" t="s">
        <v>2166</v>
      </c>
    </row>
    <row r="157" spans="1:30" x14ac:dyDescent="0.3">
      <c r="A157" s="1">
        <v>251</v>
      </c>
      <c r="B157" s="2" t="s">
        <v>181</v>
      </c>
      <c r="C157" t="s">
        <v>359</v>
      </c>
      <c r="D157">
        <v>2021</v>
      </c>
      <c r="E157">
        <v>1</v>
      </c>
      <c r="F157">
        <v>3</v>
      </c>
      <c r="G157" t="s">
        <v>561</v>
      </c>
      <c r="H157" t="s">
        <v>695</v>
      </c>
      <c r="I157" t="s">
        <v>1017</v>
      </c>
      <c r="J157" t="s">
        <v>1287</v>
      </c>
      <c r="K157" t="s">
        <v>1513</v>
      </c>
      <c r="L157" t="s">
        <v>1704</v>
      </c>
      <c r="M157" t="s">
        <v>1854</v>
      </c>
      <c r="Z157" t="s">
        <v>2166</v>
      </c>
      <c r="AA157" t="s">
        <v>2166</v>
      </c>
      <c r="AB157" t="s">
        <v>2168</v>
      </c>
    </row>
    <row r="158" spans="1:30" x14ac:dyDescent="0.3">
      <c r="A158" s="1">
        <v>252</v>
      </c>
      <c r="B158" s="2" t="s">
        <v>182</v>
      </c>
      <c r="C158" t="s">
        <v>360</v>
      </c>
      <c r="D158">
        <v>2021</v>
      </c>
      <c r="E158">
        <v>1</v>
      </c>
      <c r="F158">
        <v>3</v>
      </c>
      <c r="G158" t="s">
        <v>561</v>
      </c>
      <c r="H158" t="s">
        <v>696</v>
      </c>
      <c r="I158" t="s">
        <v>1018</v>
      </c>
      <c r="J158" t="s">
        <v>1288</v>
      </c>
      <c r="K158" t="s">
        <v>1514</v>
      </c>
      <c r="L158" t="s">
        <v>652</v>
      </c>
      <c r="M158" t="s">
        <v>974</v>
      </c>
      <c r="Z158" t="s">
        <v>2168</v>
      </c>
      <c r="AA158" t="s">
        <v>2168</v>
      </c>
      <c r="AB158" t="s">
        <v>2168</v>
      </c>
    </row>
    <row r="159" spans="1:30" x14ac:dyDescent="0.3">
      <c r="A159" s="1">
        <v>253</v>
      </c>
      <c r="B159" s="2" t="s">
        <v>183</v>
      </c>
      <c r="C159" t="s">
        <v>361</v>
      </c>
      <c r="D159">
        <v>2021</v>
      </c>
      <c r="E159">
        <v>1</v>
      </c>
      <c r="F159">
        <v>4</v>
      </c>
      <c r="G159" t="s">
        <v>561</v>
      </c>
      <c r="H159" t="s">
        <v>697</v>
      </c>
      <c r="I159" t="s">
        <v>1019</v>
      </c>
      <c r="J159" t="s">
        <v>1289</v>
      </c>
      <c r="K159" t="s">
        <v>1515</v>
      </c>
      <c r="L159" t="s">
        <v>1705</v>
      </c>
      <c r="M159" t="s">
        <v>1855</v>
      </c>
      <c r="N159" t="s">
        <v>1958</v>
      </c>
      <c r="O159" t="s">
        <v>2018</v>
      </c>
      <c r="Z159" t="s">
        <v>2166</v>
      </c>
      <c r="AA159" t="s">
        <v>2168</v>
      </c>
      <c r="AB159" t="s">
        <v>2166</v>
      </c>
      <c r="AC159" t="s">
        <v>2168</v>
      </c>
    </row>
    <row r="160" spans="1:30" x14ac:dyDescent="0.3">
      <c r="A160" s="1">
        <v>254</v>
      </c>
      <c r="B160" s="2" t="s">
        <v>184</v>
      </c>
      <c r="C160" t="s">
        <v>362</v>
      </c>
      <c r="D160">
        <v>2021</v>
      </c>
      <c r="E160">
        <v>1</v>
      </c>
      <c r="F160">
        <v>3</v>
      </c>
      <c r="G160" t="s">
        <v>561</v>
      </c>
      <c r="H160" t="s">
        <v>698</v>
      </c>
      <c r="I160" t="s">
        <v>1020</v>
      </c>
      <c r="J160" t="s">
        <v>1290</v>
      </c>
      <c r="K160" t="s">
        <v>1516</v>
      </c>
      <c r="L160" t="s">
        <v>1706</v>
      </c>
      <c r="M160" t="s">
        <v>1856</v>
      </c>
      <c r="Z160" t="s">
        <v>2166</v>
      </c>
      <c r="AA160" t="s">
        <v>2168</v>
      </c>
      <c r="AB160" t="s">
        <v>2166</v>
      </c>
    </row>
    <row r="161" spans="1:30" x14ac:dyDescent="0.3">
      <c r="A161" s="1">
        <v>255</v>
      </c>
      <c r="B161" s="2" t="s">
        <v>185</v>
      </c>
      <c r="C161" t="s">
        <v>363</v>
      </c>
      <c r="D161">
        <v>2021</v>
      </c>
      <c r="E161">
        <v>1</v>
      </c>
      <c r="F161">
        <v>2</v>
      </c>
      <c r="G161" t="s">
        <v>561</v>
      </c>
      <c r="H161" t="s">
        <v>699</v>
      </c>
      <c r="I161" t="s">
        <v>1021</v>
      </c>
      <c r="J161" t="s">
        <v>1291</v>
      </c>
      <c r="K161" t="s">
        <v>1517</v>
      </c>
      <c r="Z161" t="s">
        <v>2166</v>
      </c>
      <c r="AA161" t="s">
        <v>2167</v>
      </c>
    </row>
    <row r="162" spans="1:30" x14ac:dyDescent="0.3">
      <c r="A162" s="1">
        <v>256</v>
      </c>
      <c r="B162" s="2" t="s">
        <v>186</v>
      </c>
      <c r="C162" t="s">
        <v>364</v>
      </c>
      <c r="D162">
        <v>2021</v>
      </c>
      <c r="E162">
        <v>1</v>
      </c>
      <c r="F162">
        <v>5</v>
      </c>
      <c r="G162" t="s">
        <v>561</v>
      </c>
      <c r="H162" t="s">
        <v>666</v>
      </c>
      <c r="I162" t="s">
        <v>988</v>
      </c>
      <c r="J162" t="s">
        <v>1292</v>
      </c>
      <c r="K162" t="s">
        <v>1518</v>
      </c>
      <c r="L162" t="s">
        <v>1707</v>
      </c>
      <c r="M162" t="s">
        <v>1857</v>
      </c>
      <c r="N162" t="s">
        <v>645</v>
      </c>
      <c r="O162" t="s">
        <v>967</v>
      </c>
      <c r="P162" t="s">
        <v>2065</v>
      </c>
      <c r="Q162" t="s">
        <v>2090</v>
      </c>
      <c r="Z162" t="s">
        <v>2168</v>
      </c>
      <c r="AA162" t="s">
        <v>2166</v>
      </c>
      <c r="AB162" t="s">
        <v>2168</v>
      </c>
      <c r="AC162" t="s">
        <v>2166</v>
      </c>
      <c r="AD162" t="s">
        <v>2168</v>
      </c>
    </row>
    <row r="163" spans="1:30" x14ac:dyDescent="0.3">
      <c r="A163" s="1">
        <v>257</v>
      </c>
      <c r="B163" s="2" t="s">
        <v>187</v>
      </c>
      <c r="C163" t="s">
        <v>365</v>
      </c>
      <c r="D163">
        <v>2021</v>
      </c>
      <c r="E163">
        <v>1</v>
      </c>
      <c r="F163">
        <v>4</v>
      </c>
      <c r="G163" t="s">
        <v>561</v>
      </c>
      <c r="H163" t="s">
        <v>700</v>
      </c>
      <c r="I163" t="s">
        <v>1022</v>
      </c>
      <c r="J163" t="s">
        <v>1293</v>
      </c>
      <c r="K163" t="s">
        <v>1519</v>
      </c>
      <c r="L163" t="s">
        <v>1708</v>
      </c>
      <c r="M163" t="s">
        <v>1858</v>
      </c>
      <c r="N163" t="s">
        <v>1959</v>
      </c>
      <c r="O163" t="s">
        <v>2019</v>
      </c>
      <c r="Z163" t="s">
        <v>2167</v>
      </c>
      <c r="AA163" t="s">
        <v>2168</v>
      </c>
      <c r="AB163" t="s">
        <v>2168</v>
      </c>
      <c r="AC163" t="s">
        <v>2166</v>
      </c>
    </row>
    <row r="164" spans="1:30" x14ac:dyDescent="0.3">
      <c r="A164" s="1">
        <v>258</v>
      </c>
      <c r="C164" t="s">
        <v>366</v>
      </c>
      <c r="D164">
        <v>2015</v>
      </c>
      <c r="E164">
        <v>1</v>
      </c>
      <c r="F164">
        <v>1</v>
      </c>
      <c r="G164" t="s">
        <v>561</v>
      </c>
      <c r="H164" t="s">
        <v>701</v>
      </c>
      <c r="I164" t="s">
        <v>890</v>
      </c>
      <c r="Z164" t="s">
        <v>2168</v>
      </c>
    </row>
    <row r="165" spans="1:30" x14ac:dyDescent="0.3">
      <c r="A165" s="1">
        <v>264</v>
      </c>
      <c r="C165" t="s">
        <v>327</v>
      </c>
      <c r="D165">
        <v>2017</v>
      </c>
      <c r="E165">
        <v>1</v>
      </c>
      <c r="F165">
        <v>3</v>
      </c>
      <c r="G165" t="s">
        <v>561</v>
      </c>
      <c r="H165" t="s">
        <v>668</v>
      </c>
      <c r="I165" t="s">
        <v>990</v>
      </c>
      <c r="J165" t="s">
        <v>1229</v>
      </c>
      <c r="K165" t="s">
        <v>1460</v>
      </c>
      <c r="L165" t="s">
        <v>1688</v>
      </c>
      <c r="M165" t="s">
        <v>1840</v>
      </c>
      <c r="Z165" t="s">
        <v>2167</v>
      </c>
      <c r="AA165" t="s">
        <v>2166</v>
      </c>
      <c r="AB165" t="s">
        <v>2166</v>
      </c>
    </row>
    <row r="166" spans="1:30" x14ac:dyDescent="0.3">
      <c r="A166" s="1">
        <v>271</v>
      </c>
      <c r="B166" s="2" t="s">
        <v>188</v>
      </c>
      <c r="C166" t="s">
        <v>367</v>
      </c>
      <c r="D166">
        <v>2015</v>
      </c>
      <c r="E166">
        <v>0</v>
      </c>
      <c r="F166">
        <v>3</v>
      </c>
      <c r="G166" t="s">
        <v>561</v>
      </c>
      <c r="H166" t="s">
        <v>702</v>
      </c>
      <c r="I166" t="s">
        <v>1023</v>
      </c>
      <c r="J166" t="s">
        <v>1294</v>
      </c>
      <c r="K166" t="s">
        <v>1520</v>
      </c>
      <c r="L166" t="s">
        <v>1709</v>
      </c>
      <c r="M166" t="s">
        <v>1859</v>
      </c>
      <c r="Z166" t="s">
        <v>2168</v>
      </c>
      <c r="AA166" t="s">
        <v>2167</v>
      </c>
      <c r="AB166" t="s">
        <v>2168</v>
      </c>
    </row>
    <row r="167" spans="1:30" x14ac:dyDescent="0.3">
      <c r="A167" s="1">
        <v>274</v>
      </c>
      <c r="C167" t="s">
        <v>368</v>
      </c>
      <c r="D167">
        <v>2015</v>
      </c>
      <c r="E167">
        <v>0</v>
      </c>
      <c r="F167">
        <v>1</v>
      </c>
      <c r="G167" t="s">
        <v>561</v>
      </c>
      <c r="H167" t="s">
        <v>703</v>
      </c>
      <c r="I167" t="s">
        <v>1024</v>
      </c>
      <c r="Z167" t="s">
        <v>2168</v>
      </c>
    </row>
    <row r="168" spans="1:30" x14ac:dyDescent="0.3">
      <c r="A168" s="1">
        <v>275</v>
      </c>
      <c r="C168" t="s">
        <v>369</v>
      </c>
      <c r="D168">
        <v>2015</v>
      </c>
      <c r="E168">
        <v>0</v>
      </c>
      <c r="F168">
        <v>2</v>
      </c>
      <c r="G168" t="s">
        <v>561</v>
      </c>
      <c r="H168" t="s">
        <v>704</v>
      </c>
      <c r="I168" t="s">
        <v>1025</v>
      </c>
      <c r="J168" t="s">
        <v>1295</v>
      </c>
      <c r="K168" t="s">
        <v>1521</v>
      </c>
      <c r="Z168" t="s">
        <v>2167</v>
      </c>
      <c r="AA168" t="s">
        <v>2167</v>
      </c>
    </row>
    <row r="169" spans="1:30" x14ac:dyDescent="0.3">
      <c r="A169" s="1">
        <v>276</v>
      </c>
      <c r="C169" t="s">
        <v>370</v>
      </c>
      <c r="D169">
        <v>2015</v>
      </c>
      <c r="E169">
        <v>0</v>
      </c>
      <c r="F169">
        <v>3</v>
      </c>
      <c r="G169" t="s">
        <v>561</v>
      </c>
      <c r="H169" t="s">
        <v>705</v>
      </c>
      <c r="I169" t="s">
        <v>1026</v>
      </c>
      <c r="J169" t="s">
        <v>1296</v>
      </c>
      <c r="K169" t="s">
        <v>1522</v>
      </c>
      <c r="L169" t="s">
        <v>1710</v>
      </c>
      <c r="M169" t="s">
        <v>1860</v>
      </c>
      <c r="Z169" t="s">
        <v>2168</v>
      </c>
      <c r="AA169" t="s">
        <v>2167</v>
      </c>
      <c r="AB169" t="s">
        <v>2168</v>
      </c>
    </row>
    <row r="170" spans="1:30" x14ac:dyDescent="0.3">
      <c r="A170" s="1">
        <v>277</v>
      </c>
      <c r="C170" t="s">
        <v>371</v>
      </c>
      <c r="D170">
        <v>2015</v>
      </c>
      <c r="E170">
        <v>0</v>
      </c>
      <c r="F170">
        <v>2</v>
      </c>
      <c r="G170" t="s">
        <v>561</v>
      </c>
      <c r="H170" t="s">
        <v>706</v>
      </c>
      <c r="I170" t="s">
        <v>1027</v>
      </c>
      <c r="J170" t="s">
        <v>1297</v>
      </c>
      <c r="K170" t="s">
        <v>1064</v>
      </c>
      <c r="Z170" t="s">
        <v>2167</v>
      </c>
      <c r="AA170" t="s">
        <v>2167</v>
      </c>
    </row>
    <row r="171" spans="1:30" x14ac:dyDescent="0.3">
      <c r="A171" s="1">
        <v>301</v>
      </c>
      <c r="C171" t="s">
        <v>372</v>
      </c>
      <c r="D171">
        <v>2015</v>
      </c>
      <c r="E171">
        <v>0</v>
      </c>
      <c r="F171">
        <v>2</v>
      </c>
      <c r="G171" t="s">
        <v>561</v>
      </c>
      <c r="H171" t="s">
        <v>707</v>
      </c>
      <c r="I171" t="s">
        <v>1028</v>
      </c>
      <c r="J171" t="s">
        <v>1298</v>
      </c>
      <c r="K171" t="s">
        <v>1523</v>
      </c>
      <c r="Z171" t="s">
        <v>2167</v>
      </c>
      <c r="AA171" t="s">
        <v>2167</v>
      </c>
    </row>
    <row r="172" spans="1:30" x14ac:dyDescent="0.3">
      <c r="A172" s="1">
        <v>331</v>
      </c>
      <c r="C172" t="s">
        <v>373</v>
      </c>
      <c r="D172">
        <v>2015</v>
      </c>
      <c r="E172">
        <v>0</v>
      </c>
      <c r="F172">
        <v>3</v>
      </c>
      <c r="G172" t="s">
        <v>561</v>
      </c>
      <c r="H172" t="s">
        <v>708</v>
      </c>
      <c r="I172" t="s">
        <v>1029</v>
      </c>
      <c r="J172" t="s">
        <v>1299</v>
      </c>
      <c r="K172" t="s">
        <v>1524</v>
      </c>
      <c r="L172" t="s">
        <v>1711</v>
      </c>
      <c r="M172" t="s">
        <v>1861</v>
      </c>
      <c r="Z172" t="s">
        <v>2166</v>
      </c>
      <c r="AA172" t="s">
        <v>2166</v>
      </c>
      <c r="AB172" t="s">
        <v>2166</v>
      </c>
    </row>
    <row r="173" spans="1:30" x14ac:dyDescent="0.3">
      <c r="A173" s="1">
        <v>332</v>
      </c>
      <c r="C173" t="s">
        <v>374</v>
      </c>
      <c r="D173">
        <v>2015</v>
      </c>
      <c r="E173">
        <v>0</v>
      </c>
      <c r="F173">
        <v>4</v>
      </c>
      <c r="G173" t="s">
        <v>561</v>
      </c>
      <c r="H173" t="s">
        <v>709</v>
      </c>
      <c r="I173" t="s">
        <v>1030</v>
      </c>
      <c r="J173" t="s">
        <v>1300</v>
      </c>
      <c r="K173" t="s">
        <v>1525</v>
      </c>
      <c r="L173" t="s">
        <v>1712</v>
      </c>
      <c r="M173" t="s">
        <v>1862</v>
      </c>
      <c r="N173" t="s">
        <v>1960</v>
      </c>
      <c r="O173" t="s">
        <v>2020</v>
      </c>
      <c r="Z173" t="s">
        <v>2168</v>
      </c>
      <c r="AA173" t="s">
        <v>2168</v>
      </c>
      <c r="AB173" t="s">
        <v>2168</v>
      </c>
      <c r="AC173" t="s">
        <v>2168</v>
      </c>
    </row>
    <row r="174" spans="1:30" x14ac:dyDescent="0.3">
      <c r="A174" s="1">
        <v>336</v>
      </c>
      <c r="C174" t="s">
        <v>375</v>
      </c>
      <c r="D174">
        <v>2015</v>
      </c>
      <c r="E174">
        <v>0</v>
      </c>
      <c r="F174">
        <v>2</v>
      </c>
      <c r="G174" t="s">
        <v>561</v>
      </c>
      <c r="H174" t="s">
        <v>710</v>
      </c>
      <c r="I174" t="s">
        <v>1031</v>
      </c>
      <c r="J174" t="s">
        <v>1301</v>
      </c>
      <c r="K174" t="s">
        <v>1526</v>
      </c>
      <c r="Z174" t="s">
        <v>2167</v>
      </c>
      <c r="AA174" t="s">
        <v>2167</v>
      </c>
    </row>
    <row r="175" spans="1:30" x14ac:dyDescent="0.3">
      <c r="A175" s="1">
        <v>342</v>
      </c>
      <c r="C175" t="s">
        <v>376</v>
      </c>
      <c r="D175">
        <v>2015</v>
      </c>
      <c r="E175">
        <v>0</v>
      </c>
      <c r="F175">
        <v>2</v>
      </c>
      <c r="G175" t="s">
        <v>561</v>
      </c>
      <c r="H175" t="s">
        <v>711</v>
      </c>
      <c r="I175" t="s">
        <v>1032</v>
      </c>
      <c r="J175" t="s">
        <v>1302</v>
      </c>
      <c r="K175" t="s">
        <v>1527</v>
      </c>
      <c r="Z175" t="s">
        <v>2166</v>
      </c>
      <c r="AA175" t="s">
        <v>2168</v>
      </c>
    </row>
    <row r="176" spans="1:30" x14ac:dyDescent="0.3">
      <c r="A176" s="1">
        <v>395</v>
      </c>
      <c r="C176" t="s">
        <v>377</v>
      </c>
      <c r="D176">
        <v>2015</v>
      </c>
      <c r="E176">
        <v>0</v>
      </c>
      <c r="F176">
        <v>2</v>
      </c>
      <c r="G176" t="s">
        <v>561</v>
      </c>
      <c r="H176" t="s">
        <v>712</v>
      </c>
      <c r="I176" t="s">
        <v>1033</v>
      </c>
      <c r="J176" t="s">
        <v>1303</v>
      </c>
      <c r="K176" t="s">
        <v>1528</v>
      </c>
      <c r="Z176" t="s">
        <v>2167</v>
      </c>
      <c r="AA176" t="s">
        <v>2167</v>
      </c>
    </row>
    <row r="177" spans="1:29" x14ac:dyDescent="0.3">
      <c r="A177" s="1">
        <v>396</v>
      </c>
      <c r="C177" t="s">
        <v>378</v>
      </c>
      <c r="D177">
        <v>2015</v>
      </c>
      <c r="E177">
        <v>0</v>
      </c>
      <c r="F177">
        <v>4</v>
      </c>
      <c r="G177" t="s">
        <v>561</v>
      </c>
      <c r="H177" t="s">
        <v>713</v>
      </c>
      <c r="I177" t="s">
        <v>888</v>
      </c>
      <c r="J177" t="s">
        <v>1304</v>
      </c>
      <c r="K177" t="s">
        <v>1529</v>
      </c>
      <c r="L177" t="s">
        <v>1713</v>
      </c>
      <c r="M177" t="s">
        <v>1863</v>
      </c>
      <c r="N177" t="s">
        <v>1961</v>
      </c>
      <c r="O177" t="s">
        <v>2021</v>
      </c>
      <c r="Z177" t="s">
        <v>2168</v>
      </c>
      <c r="AA177" t="s">
        <v>2166</v>
      </c>
      <c r="AB177" t="s">
        <v>2166</v>
      </c>
      <c r="AC177" t="s">
        <v>2166</v>
      </c>
    </row>
    <row r="178" spans="1:29" x14ac:dyDescent="0.3">
      <c r="A178" s="1">
        <v>397</v>
      </c>
      <c r="C178" t="s">
        <v>379</v>
      </c>
      <c r="D178">
        <v>2015</v>
      </c>
      <c r="E178">
        <v>0</v>
      </c>
      <c r="F178">
        <v>3</v>
      </c>
      <c r="G178" t="s">
        <v>561</v>
      </c>
      <c r="H178" t="s">
        <v>714</v>
      </c>
      <c r="I178" t="s">
        <v>1034</v>
      </c>
      <c r="J178" t="s">
        <v>1305</v>
      </c>
      <c r="K178" t="s">
        <v>1530</v>
      </c>
      <c r="L178" t="s">
        <v>1714</v>
      </c>
      <c r="M178" t="s">
        <v>1173</v>
      </c>
      <c r="Z178" t="s">
        <v>2167</v>
      </c>
      <c r="AA178" t="s">
        <v>2167</v>
      </c>
      <c r="AB178" t="s">
        <v>2167</v>
      </c>
    </row>
    <row r="179" spans="1:29" x14ac:dyDescent="0.3">
      <c r="A179" s="1">
        <v>398</v>
      </c>
      <c r="C179" t="s">
        <v>380</v>
      </c>
      <c r="D179">
        <v>2015</v>
      </c>
      <c r="E179">
        <v>0</v>
      </c>
      <c r="F179">
        <v>4</v>
      </c>
      <c r="G179" t="s">
        <v>561</v>
      </c>
      <c r="H179" t="s">
        <v>715</v>
      </c>
      <c r="I179" t="s">
        <v>1035</v>
      </c>
      <c r="J179" t="s">
        <v>723</v>
      </c>
      <c r="K179" t="s">
        <v>1043</v>
      </c>
      <c r="L179" t="s">
        <v>1715</v>
      </c>
      <c r="M179" t="s">
        <v>1864</v>
      </c>
      <c r="N179" t="s">
        <v>1962</v>
      </c>
      <c r="O179" t="s">
        <v>2022</v>
      </c>
      <c r="Z179" t="s">
        <v>2168</v>
      </c>
      <c r="AA179" t="s">
        <v>2167</v>
      </c>
      <c r="AB179" t="s">
        <v>2167</v>
      </c>
      <c r="AC179" t="s">
        <v>2167</v>
      </c>
    </row>
    <row r="180" spans="1:29" x14ac:dyDescent="0.3">
      <c r="A180" s="1">
        <v>399</v>
      </c>
      <c r="C180" t="s">
        <v>381</v>
      </c>
      <c r="D180">
        <v>2015</v>
      </c>
      <c r="E180">
        <v>0</v>
      </c>
      <c r="F180">
        <v>4</v>
      </c>
      <c r="G180" t="s">
        <v>561</v>
      </c>
      <c r="H180" t="s">
        <v>716</v>
      </c>
      <c r="I180" t="s">
        <v>1036</v>
      </c>
      <c r="J180" t="s">
        <v>1306</v>
      </c>
      <c r="K180" t="s">
        <v>1531</v>
      </c>
      <c r="L180" t="s">
        <v>1716</v>
      </c>
      <c r="M180" t="s">
        <v>1865</v>
      </c>
      <c r="N180" t="s">
        <v>1963</v>
      </c>
      <c r="O180" t="s">
        <v>2023</v>
      </c>
      <c r="Z180" t="s">
        <v>2168</v>
      </c>
      <c r="AA180" t="s">
        <v>2168</v>
      </c>
      <c r="AB180" t="s">
        <v>2168</v>
      </c>
      <c r="AC180" t="s">
        <v>2168</v>
      </c>
    </row>
    <row r="181" spans="1:29" x14ac:dyDescent="0.3">
      <c r="A181" s="1">
        <v>400</v>
      </c>
      <c r="C181" t="s">
        <v>382</v>
      </c>
      <c r="D181">
        <v>2015</v>
      </c>
      <c r="E181">
        <v>0</v>
      </c>
      <c r="F181">
        <v>3</v>
      </c>
      <c r="G181" t="s">
        <v>561</v>
      </c>
      <c r="H181" t="s">
        <v>717</v>
      </c>
      <c r="I181" t="s">
        <v>1037</v>
      </c>
      <c r="J181" t="s">
        <v>1307</v>
      </c>
      <c r="K181" t="s">
        <v>1532</v>
      </c>
      <c r="L181" t="s">
        <v>1717</v>
      </c>
      <c r="M181" t="s">
        <v>1866</v>
      </c>
      <c r="Z181" t="s">
        <v>2166</v>
      </c>
      <c r="AA181" t="s">
        <v>2168</v>
      </c>
      <c r="AB181" t="s">
        <v>2168</v>
      </c>
    </row>
    <row r="182" spans="1:29" x14ac:dyDescent="0.3">
      <c r="A182" s="1">
        <v>401</v>
      </c>
      <c r="C182" t="s">
        <v>383</v>
      </c>
      <c r="D182">
        <v>2015</v>
      </c>
      <c r="E182">
        <v>0</v>
      </c>
      <c r="F182">
        <v>2</v>
      </c>
      <c r="G182" t="s">
        <v>561</v>
      </c>
      <c r="H182" t="s">
        <v>718</v>
      </c>
      <c r="I182" t="s">
        <v>1038</v>
      </c>
      <c r="J182" t="s">
        <v>1308</v>
      </c>
      <c r="K182" t="s">
        <v>1533</v>
      </c>
      <c r="Z182" t="s">
        <v>2168</v>
      </c>
      <c r="AA182" t="s">
        <v>2167</v>
      </c>
    </row>
    <row r="183" spans="1:29" x14ac:dyDescent="0.3">
      <c r="A183" s="1">
        <v>438</v>
      </c>
      <c r="C183" t="s">
        <v>384</v>
      </c>
      <c r="D183">
        <v>2016</v>
      </c>
      <c r="E183">
        <v>0</v>
      </c>
      <c r="F183">
        <v>2</v>
      </c>
      <c r="G183" t="s">
        <v>561</v>
      </c>
      <c r="H183" t="s">
        <v>719</v>
      </c>
      <c r="I183" t="s">
        <v>1039</v>
      </c>
      <c r="J183" t="s">
        <v>1309</v>
      </c>
      <c r="K183" t="s">
        <v>1534</v>
      </c>
      <c r="Z183" t="s">
        <v>2167</v>
      </c>
      <c r="AA183" t="s">
        <v>2167</v>
      </c>
    </row>
    <row r="184" spans="1:29" x14ac:dyDescent="0.3">
      <c r="A184" s="1">
        <v>439</v>
      </c>
      <c r="C184" t="s">
        <v>385</v>
      </c>
      <c r="D184">
        <v>2016</v>
      </c>
      <c r="E184">
        <v>0</v>
      </c>
      <c r="F184">
        <v>4</v>
      </c>
      <c r="G184" t="s">
        <v>561</v>
      </c>
      <c r="H184" t="s">
        <v>720</v>
      </c>
      <c r="I184" t="s">
        <v>1040</v>
      </c>
      <c r="J184" t="s">
        <v>1310</v>
      </c>
      <c r="K184" t="s">
        <v>1535</v>
      </c>
      <c r="L184" t="s">
        <v>1718</v>
      </c>
      <c r="M184" t="s">
        <v>1867</v>
      </c>
      <c r="N184" t="s">
        <v>1964</v>
      </c>
      <c r="O184" t="s">
        <v>2024</v>
      </c>
      <c r="Z184" t="s">
        <v>2167</v>
      </c>
      <c r="AA184" t="s">
        <v>2167</v>
      </c>
      <c r="AB184" t="s">
        <v>2166</v>
      </c>
      <c r="AC184" t="s">
        <v>2168</v>
      </c>
    </row>
    <row r="185" spans="1:29" x14ac:dyDescent="0.3">
      <c r="A185" s="1">
        <v>440</v>
      </c>
      <c r="C185" t="s">
        <v>386</v>
      </c>
      <c r="D185">
        <v>2016</v>
      </c>
      <c r="E185">
        <v>0</v>
      </c>
      <c r="F185">
        <v>4</v>
      </c>
      <c r="G185" t="s">
        <v>561</v>
      </c>
      <c r="H185" t="s">
        <v>721</v>
      </c>
      <c r="I185" t="s">
        <v>1041</v>
      </c>
      <c r="J185" t="s">
        <v>1311</v>
      </c>
      <c r="K185" t="s">
        <v>1536</v>
      </c>
      <c r="L185" t="s">
        <v>1719</v>
      </c>
      <c r="M185" t="s">
        <v>1868</v>
      </c>
      <c r="N185" t="s">
        <v>1965</v>
      </c>
      <c r="O185" t="s">
        <v>2025</v>
      </c>
      <c r="Z185" t="s">
        <v>2167</v>
      </c>
      <c r="AA185" t="s">
        <v>2167</v>
      </c>
      <c r="AB185" t="s">
        <v>2167</v>
      </c>
      <c r="AC185" t="s">
        <v>2167</v>
      </c>
    </row>
    <row r="186" spans="1:29" x14ac:dyDescent="0.3">
      <c r="A186" s="1">
        <v>441</v>
      </c>
      <c r="C186" t="s">
        <v>387</v>
      </c>
      <c r="D186">
        <v>2015</v>
      </c>
      <c r="E186">
        <v>0</v>
      </c>
      <c r="F186">
        <v>3</v>
      </c>
      <c r="G186" t="s">
        <v>561</v>
      </c>
      <c r="H186" t="s">
        <v>722</v>
      </c>
      <c r="I186" t="s">
        <v>1042</v>
      </c>
      <c r="J186" t="s">
        <v>1312</v>
      </c>
      <c r="K186" t="s">
        <v>1537</v>
      </c>
      <c r="L186" t="s">
        <v>1720</v>
      </c>
      <c r="M186" t="s">
        <v>1869</v>
      </c>
      <c r="Z186" t="s">
        <v>2167</v>
      </c>
      <c r="AA186" t="s">
        <v>2167</v>
      </c>
      <c r="AB186" t="s">
        <v>2167</v>
      </c>
    </row>
    <row r="187" spans="1:29" x14ac:dyDescent="0.3">
      <c r="A187" s="1">
        <v>442</v>
      </c>
      <c r="C187" t="s">
        <v>388</v>
      </c>
      <c r="D187">
        <v>2016</v>
      </c>
      <c r="E187">
        <v>0</v>
      </c>
      <c r="F187">
        <v>4</v>
      </c>
      <c r="G187" t="s">
        <v>561</v>
      </c>
      <c r="H187" t="s">
        <v>723</v>
      </c>
      <c r="I187" t="s">
        <v>1043</v>
      </c>
      <c r="J187" t="s">
        <v>1313</v>
      </c>
      <c r="K187" t="s">
        <v>1538</v>
      </c>
      <c r="L187" t="s">
        <v>1721</v>
      </c>
      <c r="M187" t="s">
        <v>1870</v>
      </c>
      <c r="N187" t="s">
        <v>1966</v>
      </c>
      <c r="O187" t="s">
        <v>2026</v>
      </c>
      <c r="Z187" t="s">
        <v>2167</v>
      </c>
      <c r="AA187" t="s">
        <v>2167</v>
      </c>
      <c r="AB187" t="s">
        <v>2167</v>
      </c>
      <c r="AC187" t="s">
        <v>2167</v>
      </c>
    </row>
    <row r="188" spans="1:29" x14ac:dyDescent="0.3">
      <c r="A188" s="1">
        <v>443</v>
      </c>
      <c r="C188" t="s">
        <v>389</v>
      </c>
      <c r="D188">
        <v>2016</v>
      </c>
      <c r="E188">
        <v>0</v>
      </c>
      <c r="F188">
        <v>2</v>
      </c>
      <c r="G188" t="s">
        <v>561</v>
      </c>
      <c r="H188" t="s">
        <v>724</v>
      </c>
      <c r="I188" t="s">
        <v>1037</v>
      </c>
      <c r="J188" t="s">
        <v>1314</v>
      </c>
      <c r="K188" t="s">
        <v>1532</v>
      </c>
      <c r="Z188" t="s">
        <v>2166</v>
      </c>
      <c r="AA188" t="s">
        <v>2168</v>
      </c>
    </row>
    <row r="189" spans="1:29" x14ac:dyDescent="0.3">
      <c r="A189" s="1">
        <v>444</v>
      </c>
      <c r="C189" t="s">
        <v>390</v>
      </c>
      <c r="D189">
        <v>2016</v>
      </c>
      <c r="E189">
        <v>0</v>
      </c>
      <c r="F189">
        <v>1</v>
      </c>
      <c r="G189" t="s">
        <v>561</v>
      </c>
      <c r="H189" t="s">
        <v>725</v>
      </c>
      <c r="I189" t="s">
        <v>1044</v>
      </c>
      <c r="Z189" t="s">
        <v>2167</v>
      </c>
    </row>
    <row r="190" spans="1:29" x14ac:dyDescent="0.3">
      <c r="A190" s="1">
        <v>445</v>
      </c>
      <c r="C190" t="s">
        <v>391</v>
      </c>
      <c r="D190">
        <v>2016</v>
      </c>
      <c r="E190">
        <v>0</v>
      </c>
      <c r="F190">
        <v>3</v>
      </c>
      <c r="G190" t="s">
        <v>561</v>
      </c>
      <c r="H190" t="s">
        <v>726</v>
      </c>
      <c r="I190" t="s">
        <v>1045</v>
      </c>
      <c r="J190" t="s">
        <v>1315</v>
      </c>
      <c r="K190" t="s">
        <v>1539</v>
      </c>
      <c r="L190" t="s">
        <v>1722</v>
      </c>
      <c r="M190" t="s">
        <v>1871</v>
      </c>
      <c r="Z190" t="s">
        <v>2167</v>
      </c>
      <c r="AA190" t="s">
        <v>2167</v>
      </c>
      <c r="AB190" t="s">
        <v>2167</v>
      </c>
    </row>
    <row r="191" spans="1:29" x14ac:dyDescent="0.3">
      <c r="A191" s="1">
        <v>446</v>
      </c>
      <c r="C191" t="s">
        <v>392</v>
      </c>
      <c r="D191">
        <v>2016</v>
      </c>
      <c r="E191">
        <v>0</v>
      </c>
      <c r="F191">
        <v>3</v>
      </c>
      <c r="G191" t="s">
        <v>561</v>
      </c>
      <c r="H191" t="s">
        <v>727</v>
      </c>
      <c r="I191" t="s">
        <v>1046</v>
      </c>
      <c r="J191" t="s">
        <v>1316</v>
      </c>
      <c r="K191" t="s">
        <v>1540</v>
      </c>
      <c r="L191" t="s">
        <v>1723</v>
      </c>
      <c r="M191" t="s">
        <v>1872</v>
      </c>
      <c r="Z191" t="s">
        <v>2168</v>
      </c>
      <c r="AA191" t="s">
        <v>2166</v>
      </c>
      <c r="AB191" t="s">
        <v>2166</v>
      </c>
    </row>
    <row r="192" spans="1:29" x14ac:dyDescent="0.3">
      <c r="A192" s="1">
        <v>447</v>
      </c>
      <c r="C192" t="s">
        <v>393</v>
      </c>
      <c r="D192">
        <v>2016</v>
      </c>
      <c r="E192">
        <v>0</v>
      </c>
      <c r="F192">
        <v>4</v>
      </c>
      <c r="G192" t="s">
        <v>561</v>
      </c>
      <c r="H192" t="s">
        <v>728</v>
      </c>
      <c r="I192" t="s">
        <v>1047</v>
      </c>
      <c r="J192" t="s">
        <v>1317</v>
      </c>
      <c r="K192" t="s">
        <v>1541</v>
      </c>
      <c r="L192" t="s">
        <v>1724</v>
      </c>
      <c r="M192" t="s">
        <v>1873</v>
      </c>
      <c r="N192" t="s">
        <v>1967</v>
      </c>
      <c r="O192" t="s">
        <v>2027</v>
      </c>
      <c r="Z192" t="s">
        <v>2168</v>
      </c>
      <c r="AA192" t="s">
        <v>2168</v>
      </c>
      <c r="AB192" t="s">
        <v>2167</v>
      </c>
      <c r="AC192" t="s">
        <v>2166</v>
      </c>
    </row>
    <row r="193" spans="1:32" x14ac:dyDescent="0.3">
      <c r="A193" s="1">
        <v>448</v>
      </c>
      <c r="C193" t="s">
        <v>394</v>
      </c>
      <c r="D193">
        <v>2016</v>
      </c>
      <c r="E193">
        <v>0</v>
      </c>
      <c r="F193">
        <v>5</v>
      </c>
      <c r="G193" t="s">
        <v>561</v>
      </c>
      <c r="H193" t="s">
        <v>729</v>
      </c>
      <c r="I193" t="s">
        <v>1048</v>
      </c>
      <c r="J193" t="s">
        <v>1318</v>
      </c>
      <c r="K193" t="s">
        <v>1542</v>
      </c>
      <c r="L193" t="s">
        <v>1725</v>
      </c>
      <c r="M193" t="s">
        <v>1874</v>
      </c>
      <c r="N193" t="s">
        <v>1968</v>
      </c>
      <c r="O193" t="s">
        <v>2028</v>
      </c>
      <c r="P193" t="s">
        <v>2066</v>
      </c>
      <c r="Q193" t="s">
        <v>2091</v>
      </c>
      <c r="Z193" t="s">
        <v>2168</v>
      </c>
      <c r="AA193" t="s">
        <v>2167</v>
      </c>
      <c r="AB193" t="s">
        <v>2168</v>
      </c>
      <c r="AC193" t="s">
        <v>2168</v>
      </c>
      <c r="AD193" t="s">
        <v>2167</v>
      </c>
    </row>
    <row r="194" spans="1:32" x14ac:dyDescent="0.3">
      <c r="A194" s="1">
        <v>449</v>
      </c>
      <c r="C194" t="s">
        <v>395</v>
      </c>
      <c r="D194">
        <v>2016</v>
      </c>
      <c r="E194">
        <v>0</v>
      </c>
      <c r="F194">
        <v>4</v>
      </c>
      <c r="G194" t="s">
        <v>561</v>
      </c>
      <c r="H194" t="s">
        <v>730</v>
      </c>
      <c r="I194" t="s">
        <v>1049</v>
      </c>
      <c r="J194" t="s">
        <v>1319</v>
      </c>
      <c r="K194" t="s">
        <v>1543</v>
      </c>
      <c r="L194" t="s">
        <v>1726</v>
      </c>
      <c r="M194" t="s">
        <v>1875</v>
      </c>
      <c r="N194" t="s">
        <v>1969</v>
      </c>
      <c r="O194" t="s">
        <v>890</v>
      </c>
      <c r="Z194" t="s">
        <v>2168</v>
      </c>
      <c r="AA194" t="s">
        <v>2166</v>
      </c>
      <c r="AB194" t="s">
        <v>2168</v>
      </c>
      <c r="AC194" t="s">
        <v>2168</v>
      </c>
    </row>
    <row r="195" spans="1:32" x14ac:dyDescent="0.3">
      <c r="A195" s="1">
        <v>450</v>
      </c>
      <c r="C195" t="s">
        <v>396</v>
      </c>
      <c r="D195">
        <v>2016</v>
      </c>
      <c r="E195">
        <v>0</v>
      </c>
      <c r="F195">
        <v>1</v>
      </c>
      <c r="G195" t="s">
        <v>561</v>
      </c>
      <c r="H195" t="s">
        <v>731</v>
      </c>
      <c r="I195" t="s">
        <v>1050</v>
      </c>
      <c r="Z195" t="s">
        <v>2167</v>
      </c>
    </row>
    <row r="196" spans="1:32" x14ac:dyDescent="0.3">
      <c r="A196" s="1">
        <v>451</v>
      </c>
      <c r="C196" t="s">
        <v>397</v>
      </c>
      <c r="D196">
        <v>2016</v>
      </c>
      <c r="E196">
        <v>0</v>
      </c>
      <c r="F196">
        <v>3</v>
      </c>
      <c r="G196" t="s">
        <v>561</v>
      </c>
      <c r="H196" t="s">
        <v>732</v>
      </c>
      <c r="I196" t="s">
        <v>1051</v>
      </c>
      <c r="J196" t="s">
        <v>1295</v>
      </c>
      <c r="K196" t="s">
        <v>1521</v>
      </c>
      <c r="L196" t="s">
        <v>832</v>
      </c>
      <c r="M196" t="s">
        <v>1144</v>
      </c>
      <c r="Z196" t="s">
        <v>2167</v>
      </c>
      <c r="AA196" t="s">
        <v>2167</v>
      </c>
      <c r="AB196" t="s">
        <v>2167</v>
      </c>
    </row>
    <row r="197" spans="1:32" x14ac:dyDescent="0.3">
      <c r="A197" s="1">
        <v>452</v>
      </c>
      <c r="C197" t="s">
        <v>398</v>
      </c>
      <c r="D197">
        <v>2016</v>
      </c>
      <c r="E197">
        <v>0</v>
      </c>
      <c r="F197">
        <v>2</v>
      </c>
      <c r="G197" t="s">
        <v>561</v>
      </c>
      <c r="H197" t="s">
        <v>733</v>
      </c>
      <c r="I197" t="s">
        <v>1052</v>
      </c>
      <c r="J197" t="s">
        <v>1320</v>
      </c>
      <c r="K197" t="s">
        <v>1544</v>
      </c>
      <c r="Z197" t="s">
        <v>2167</v>
      </c>
      <c r="AA197" t="s">
        <v>2167</v>
      </c>
    </row>
    <row r="198" spans="1:32" x14ac:dyDescent="0.3">
      <c r="A198" s="1">
        <v>453</v>
      </c>
      <c r="C198" t="s">
        <v>399</v>
      </c>
      <c r="D198">
        <v>2016</v>
      </c>
      <c r="E198">
        <v>0</v>
      </c>
      <c r="F198">
        <v>2</v>
      </c>
      <c r="G198" t="s">
        <v>561</v>
      </c>
      <c r="H198" t="s">
        <v>734</v>
      </c>
      <c r="I198" t="s">
        <v>1053</v>
      </c>
      <c r="J198" t="s">
        <v>1321</v>
      </c>
      <c r="K198" t="s">
        <v>1545</v>
      </c>
      <c r="Z198" t="s">
        <v>2166</v>
      </c>
      <c r="AA198" t="s">
        <v>2168</v>
      </c>
    </row>
    <row r="199" spans="1:32" x14ac:dyDescent="0.3">
      <c r="A199" s="1">
        <v>454</v>
      </c>
      <c r="C199" t="s">
        <v>400</v>
      </c>
      <c r="D199">
        <v>2016</v>
      </c>
      <c r="E199">
        <v>0</v>
      </c>
      <c r="F199">
        <v>7</v>
      </c>
      <c r="G199" t="s">
        <v>561</v>
      </c>
      <c r="H199" t="s">
        <v>735</v>
      </c>
      <c r="I199" t="s">
        <v>1054</v>
      </c>
      <c r="J199" t="s">
        <v>1322</v>
      </c>
      <c r="K199" t="s">
        <v>1546</v>
      </c>
      <c r="L199" t="s">
        <v>1727</v>
      </c>
      <c r="M199" t="s">
        <v>1876</v>
      </c>
      <c r="N199" t="s">
        <v>1970</v>
      </c>
      <c r="O199" t="s">
        <v>2029</v>
      </c>
      <c r="P199" t="s">
        <v>2067</v>
      </c>
      <c r="Q199" t="s">
        <v>2092</v>
      </c>
      <c r="R199" t="s">
        <v>2112</v>
      </c>
      <c r="S199" t="s">
        <v>2127</v>
      </c>
      <c r="T199" t="s">
        <v>2138</v>
      </c>
      <c r="U199" t="s">
        <v>2145</v>
      </c>
      <c r="Z199" t="s">
        <v>2167</v>
      </c>
      <c r="AA199" t="s">
        <v>2167</v>
      </c>
      <c r="AB199" t="s">
        <v>2167</v>
      </c>
      <c r="AC199" t="s">
        <v>2167</v>
      </c>
      <c r="AD199" t="s">
        <v>2167</v>
      </c>
      <c r="AE199" t="s">
        <v>2167</v>
      </c>
      <c r="AF199" t="s">
        <v>2166</v>
      </c>
    </row>
    <row r="200" spans="1:32" x14ac:dyDescent="0.3">
      <c r="A200" s="1">
        <v>455</v>
      </c>
      <c r="B200" s="2" t="s">
        <v>189</v>
      </c>
      <c r="C200" t="s">
        <v>401</v>
      </c>
      <c r="D200">
        <v>2016</v>
      </c>
      <c r="E200">
        <v>0</v>
      </c>
      <c r="F200">
        <v>7</v>
      </c>
      <c r="G200" t="s">
        <v>561</v>
      </c>
      <c r="H200" t="s">
        <v>736</v>
      </c>
      <c r="I200" t="s">
        <v>1055</v>
      </c>
      <c r="J200" t="s">
        <v>1323</v>
      </c>
      <c r="K200" t="s">
        <v>1547</v>
      </c>
      <c r="L200" t="s">
        <v>1728</v>
      </c>
      <c r="M200" t="s">
        <v>1877</v>
      </c>
      <c r="N200" t="s">
        <v>1971</v>
      </c>
      <c r="O200" t="s">
        <v>2030</v>
      </c>
      <c r="P200" t="s">
        <v>2068</v>
      </c>
      <c r="Q200" t="s">
        <v>2093</v>
      </c>
      <c r="R200" t="s">
        <v>2113</v>
      </c>
      <c r="S200" t="s">
        <v>2128</v>
      </c>
      <c r="T200" t="s">
        <v>2139</v>
      </c>
      <c r="U200" t="s">
        <v>2146</v>
      </c>
      <c r="Z200" t="s">
        <v>2168</v>
      </c>
      <c r="AA200" t="s">
        <v>2168</v>
      </c>
      <c r="AB200" t="s">
        <v>2167</v>
      </c>
      <c r="AC200" t="s">
        <v>2167</v>
      </c>
      <c r="AD200" t="s">
        <v>2168</v>
      </c>
      <c r="AE200" t="s">
        <v>2167</v>
      </c>
      <c r="AF200" t="s">
        <v>2168</v>
      </c>
    </row>
    <row r="201" spans="1:32" x14ac:dyDescent="0.3">
      <c r="A201" s="1">
        <v>456</v>
      </c>
      <c r="B201" s="2" t="s">
        <v>190</v>
      </c>
      <c r="C201" t="s">
        <v>402</v>
      </c>
      <c r="D201">
        <v>2016</v>
      </c>
      <c r="E201">
        <v>0</v>
      </c>
      <c r="F201">
        <v>1</v>
      </c>
      <c r="G201" t="s">
        <v>561</v>
      </c>
      <c r="H201" t="s">
        <v>737</v>
      </c>
      <c r="I201" t="s">
        <v>1056</v>
      </c>
      <c r="Z201" t="s">
        <v>2166</v>
      </c>
    </row>
    <row r="202" spans="1:32" x14ac:dyDescent="0.3">
      <c r="A202" s="1">
        <v>457</v>
      </c>
      <c r="C202" t="s">
        <v>403</v>
      </c>
      <c r="D202">
        <v>2016</v>
      </c>
      <c r="E202">
        <v>0</v>
      </c>
      <c r="F202">
        <v>1</v>
      </c>
      <c r="G202" t="s">
        <v>561</v>
      </c>
      <c r="H202" t="s">
        <v>738</v>
      </c>
      <c r="I202" t="s">
        <v>1057</v>
      </c>
      <c r="Z202" t="s">
        <v>2166</v>
      </c>
    </row>
    <row r="203" spans="1:32" x14ac:dyDescent="0.3">
      <c r="A203" s="1">
        <v>458</v>
      </c>
      <c r="C203" t="s">
        <v>404</v>
      </c>
      <c r="D203">
        <v>2016</v>
      </c>
      <c r="E203">
        <v>0</v>
      </c>
      <c r="F203">
        <v>2</v>
      </c>
      <c r="G203" t="s">
        <v>561</v>
      </c>
      <c r="H203" t="s">
        <v>739</v>
      </c>
      <c r="I203" t="s">
        <v>1032</v>
      </c>
      <c r="J203" t="s">
        <v>1302</v>
      </c>
      <c r="K203" t="s">
        <v>1527</v>
      </c>
      <c r="Z203" t="s">
        <v>2166</v>
      </c>
      <c r="AA203" t="s">
        <v>2168</v>
      </c>
    </row>
    <row r="204" spans="1:32" x14ac:dyDescent="0.3">
      <c r="A204" s="1">
        <v>459</v>
      </c>
      <c r="C204" t="s">
        <v>405</v>
      </c>
      <c r="D204">
        <v>2016</v>
      </c>
      <c r="E204">
        <v>0</v>
      </c>
      <c r="F204">
        <v>2</v>
      </c>
      <c r="G204" t="s">
        <v>561</v>
      </c>
      <c r="H204" t="s">
        <v>740</v>
      </c>
      <c r="I204" t="s">
        <v>1058</v>
      </c>
      <c r="J204" t="s">
        <v>1324</v>
      </c>
      <c r="K204" t="s">
        <v>1548</v>
      </c>
      <c r="Z204" t="s">
        <v>2166</v>
      </c>
      <c r="AA204" t="s">
        <v>2167</v>
      </c>
    </row>
    <row r="205" spans="1:32" x14ac:dyDescent="0.3">
      <c r="A205" s="1">
        <v>460</v>
      </c>
      <c r="C205" t="s">
        <v>406</v>
      </c>
      <c r="D205">
        <v>2017</v>
      </c>
      <c r="E205">
        <v>0</v>
      </c>
      <c r="F205">
        <v>2</v>
      </c>
      <c r="G205" t="s">
        <v>561</v>
      </c>
      <c r="H205" t="s">
        <v>741</v>
      </c>
      <c r="I205" t="s">
        <v>1059</v>
      </c>
      <c r="J205" t="s">
        <v>1325</v>
      </c>
      <c r="K205" t="s">
        <v>1549</v>
      </c>
      <c r="Z205" t="s">
        <v>2166</v>
      </c>
      <c r="AA205" t="s">
        <v>2166</v>
      </c>
    </row>
    <row r="206" spans="1:32" x14ac:dyDescent="0.3">
      <c r="A206" s="1">
        <v>461</v>
      </c>
      <c r="C206" t="s">
        <v>407</v>
      </c>
      <c r="D206">
        <v>2017</v>
      </c>
      <c r="E206">
        <v>0</v>
      </c>
      <c r="F206">
        <v>3</v>
      </c>
      <c r="G206" t="s">
        <v>561</v>
      </c>
      <c r="H206" t="s">
        <v>742</v>
      </c>
      <c r="I206" t="s">
        <v>1060</v>
      </c>
      <c r="J206" t="s">
        <v>1326</v>
      </c>
      <c r="K206" t="s">
        <v>1027</v>
      </c>
      <c r="L206" t="s">
        <v>1729</v>
      </c>
      <c r="M206" t="s">
        <v>1878</v>
      </c>
      <c r="Z206" t="s">
        <v>2168</v>
      </c>
      <c r="AA206" t="s">
        <v>2167</v>
      </c>
      <c r="AB206" t="s">
        <v>2167</v>
      </c>
    </row>
    <row r="207" spans="1:32" x14ac:dyDescent="0.3">
      <c r="A207" s="1">
        <v>462</v>
      </c>
      <c r="C207" t="s">
        <v>408</v>
      </c>
      <c r="D207">
        <v>2017</v>
      </c>
      <c r="E207">
        <v>0</v>
      </c>
      <c r="F207">
        <v>4</v>
      </c>
      <c r="G207" t="s">
        <v>561</v>
      </c>
      <c r="H207" t="s">
        <v>743</v>
      </c>
      <c r="I207" t="s">
        <v>1061</v>
      </c>
      <c r="J207" t="s">
        <v>1327</v>
      </c>
      <c r="K207" t="s">
        <v>1550</v>
      </c>
      <c r="L207" t="s">
        <v>1730</v>
      </c>
      <c r="M207" t="s">
        <v>1879</v>
      </c>
      <c r="N207" t="s">
        <v>1972</v>
      </c>
      <c r="O207" t="s">
        <v>2031</v>
      </c>
      <c r="Z207" t="s">
        <v>2167</v>
      </c>
      <c r="AA207" t="s">
        <v>2167</v>
      </c>
      <c r="AB207" t="s">
        <v>2167</v>
      </c>
      <c r="AC207" t="s">
        <v>2167</v>
      </c>
    </row>
    <row r="208" spans="1:32" x14ac:dyDescent="0.3">
      <c r="A208" s="1">
        <v>463</v>
      </c>
      <c r="C208" t="s">
        <v>409</v>
      </c>
      <c r="D208">
        <v>2017</v>
      </c>
      <c r="E208">
        <v>0</v>
      </c>
      <c r="F208">
        <v>3</v>
      </c>
      <c r="G208" t="s">
        <v>561</v>
      </c>
      <c r="H208" t="s">
        <v>744</v>
      </c>
      <c r="I208" t="s">
        <v>1062</v>
      </c>
      <c r="J208" t="s">
        <v>1328</v>
      </c>
      <c r="K208" t="s">
        <v>1551</v>
      </c>
      <c r="L208" t="s">
        <v>1731</v>
      </c>
      <c r="M208" t="s">
        <v>1880</v>
      </c>
      <c r="Z208" t="s">
        <v>2167</v>
      </c>
      <c r="AA208" t="s">
        <v>2167</v>
      </c>
      <c r="AB208" t="s">
        <v>2167</v>
      </c>
    </row>
    <row r="209" spans="1:30" x14ac:dyDescent="0.3">
      <c r="A209" s="1">
        <v>464</v>
      </c>
      <c r="C209" t="s">
        <v>410</v>
      </c>
      <c r="D209">
        <v>2017</v>
      </c>
      <c r="E209">
        <v>0</v>
      </c>
      <c r="F209">
        <v>1</v>
      </c>
      <c r="G209" t="s">
        <v>561</v>
      </c>
      <c r="H209" t="s">
        <v>745</v>
      </c>
      <c r="I209" t="s">
        <v>1063</v>
      </c>
      <c r="Z209" t="s">
        <v>2167</v>
      </c>
    </row>
    <row r="210" spans="1:30" x14ac:dyDescent="0.3">
      <c r="A210" s="1">
        <v>465</v>
      </c>
      <c r="C210" t="s">
        <v>411</v>
      </c>
      <c r="D210">
        <v>2017</v>
      </c>
      <c r="E210">
        <v>0</v>
      </c>
      <c r="F210">
        <v>1</v>
      </c>
      <c r="G210" t="s">
        <v>561</v>
      </c>
      <c r="H210" t="s">
        <v>746</v>
      </c>
      <c r="I210" t="s">
        <v>1064</v>
      </c>
      <c r="Z210" t="s">
        <v>2167</v>
      </c>
    </row>
    <row r="211" spans="1:30" x14ac:dyDescent="0.3">
      <c r="A211" s="1">
        <v>466</v>
      </c>
      <c r="C211" t="s">
        <v>412</v>
      </c>
      <c r="D211">
        <v>2017</v>
      </c>
      <c r="E211">
        <v>0</v>
      </c>
      <c r="F211">
        <v>4</v>
      </c>
      <c r="G211" t="s">
        <v>561</v>
      </c>
      <c r="H211" t="s">
        <v>747</v>
      </c>
      <c r="I211" t="s">
        <v>1065</v>
      </c>
      <c r="J211" t="s">
        <v>1329</v>
      </c>
      <c r="K211" t="s">
        <v>1552</v>
      </c>
      <c r="L211" t="s">
        <v>1732</v>
      </c>
      <c r="M211" t="s">
        <v>1881</v>
      </c>
      <c r="N211" t="s">
        <v>1973</v>
      </c>
      <c r="O211" t="s">
        <v>2032</v>
      </c>
      <c r="Z211" t="s">
        <v>2167</v>
      </c>
      <c r="AA211" t="s">
        <v>2167</v>
      </c>
      <c r="AB211" t="s">
        <v>2167</v>
      </c>
      <c r="AC211" t="s">
        <v>2167</v>
      </c>
    </row>
    <row r="212" spans="1:30" x14ac:dyDescent="0.3">
      <c r="A212" s="1">
        <v>467</v>
      </c>
      <c r="C212" t="s">
        <v>413</v>
      </c>
      <c r="D212">
        <v>2017</v>
      </c>
      <c r="E212">
        <v>0</v>
      </c>
      <c r="F212">
        <v>3</v>
      </c>
      <c r="G212" t="s">
        <v>561</v>
      </c>
      <c r="H212" t="s">
        <v>748</v>
      </c>
      <c r="I212" t="s">
        <v>1066</v>
      </c>
      <c r="J212" t="s">
        <v>1330</v>
      </c>
      <c r="K212" t="s">
        <v>1553</v>
      </c>
      <c r="L212" t="s">
        <v>1733</v>
      </c>
      <c r="M212" t="s">
        <v>1882</v>
      </c>
      <c r="Z212" t="s">
        <v>2167</v>
      </c>
      <c r="AA212" t="s">
        <v>2167</v>
      </c>
      <c r="AB212" t="s">
        <v>2167</v>
      </c>
    </row>
    <row r="213" spans="1:30" x14ac:dyDescent="0.3">
      <c r="A213" s="1">
        <v>468</v>
      </c>
      <c r="C213" t="s">
        <v>414</v>
      </c>
      <c r="D213">
        <v>2017</v>
      </c>
      <c r="E213">
        <v>0</v>
      </c>
      <c r="F213">
        <v>2</v>
      </c>
      <c r="G213" t="s">
        <v>561</v>
      </c>
      <c r="H213" t="s">
        <v>749</v>
      </c>
      <c r="I213" t="s">
        <v>1067</v>
      </c>
      <c r="J213" t="s">
        <v>1331</v>
      </c>
      <c r="K213" t="s">
        <v>1554</v>
      </c>
      <c r="Z213" t="s">
        <v>2167</v>
      </c>
      <c r="AA213" t="s">
        <v>2168</v>
      </c>
    </row>
    <row r="214" spans="1:30" x14ac:dyDescent="0.3">
      <c r="A214" s="1">
        <v>469</v>
      </c>
      <c r="C214" t="s">
        <v>415</v>
      </c>
      <c r="D214">
        <v>2017</v>
      </c>
      <c r="E214">
        <v>0</v>
      </c>
      <c r="F214">
        <v>5</v>
      </c>
      <c r="G214" t="s">
        <v>561</v>
      </c>
      <c r="H214" t="s">
        <v>750</v>
      </c>
      <c r="I214" t="s">
        <v>1068</v>
      </c>
      <c r="J214" t="s">
        <v>1332</v>
      </c>
      <c r="K214" t="s">
        <v>1555</v>
      </c>
      <c r="L214" t="s">
        <v>1734</v>
      </c>
      <c r="M214" t="s">
        <v>1883</v>
      </c>
      <c r="N214" t="s">
        <v>1974</v>
      </c>
      <c r="O214" t="s">
        <v>2033</v>
      </c>
      <c r="P214" t="s">
        <v>2069</v>
      </c>
      <c r="Q214" t="s">
        <v>2094</v>
      </c>
      <c r="Z214" t="s">
        <v>2167</v>
      </c>
      <c r="AA214" t="s">
        <v>2167</v>
      </c>
      <c r="AB214" t="s">
        <v>2167</v>
      </c>
      <c r="AC214" t="s">
        <v>2167</v>
      </c>
      <c r="AD214" t="s">
        <v>2167</v>
      </c>
    </row>
    <row r="215" spans="1:30" x14ac:dyDescent="0.3">
      <c r="A215" s="1">
        <v>470</v>
      </c>
      <c r="C215" t="s">
        <v>416</v>
      </c>
      <c r="D215">
        <v>2017</v>
      </c>
      <c r="E215">
        <v>0</v>
      </c>
      <c r="F215">
        <v>2</v>
      </c>
      <c r="G215" t="s">
        <v>561</v>
      </c>
      <c r="H215" t="s">
        <v>751</v>
      </c>
      <c r="I215" t="s">
        <v>1069</v>
      </c>
      <c r="J215" t="s">
        <v>1333</v>
      </c>
      <c r="K215" t="s">
        <v>1556</v>
      </c>
      <c r="Z215" t="s">
        <v>2167</v>
      </c>
      <c r="AA215" t="s">
        <v>2166</v>
      </c>
    </row>
    <row r="216" spans="1:30" x14ac:dyDescent="0.3">
      <c r="A216" s="1">
        <v>471</v>
      </c>
      <c r="C216" t="s">
        <v>417</v>
      </c>
      <c r="D216">
        <v>2017</v>
      </c>
      <c r="E216">
        <v>0</v>
      </c>
      <c r="F216">
        <v>2</v>
      </c>
      <c r="G216" t="s">
        <v>561</v>
      </c>
      <c r="H216" t="s">
        <v>752</v>
      </c>
      <c r="I216" t="s">
        <v>1070</v>
      </c>
      <c r="J216" t="s">
        <v>1334</v>
      </c>
      <c r="K216" t="s">
        <v>1557</v>
      </c>
      <c r="Z216" t="s">
        <v>2168</v>
      </c>
      <c r="AA216" t="s">
        <v>2167</v>
      </c>
    </row>
    <row r="217" spans="1:30" x14ac:dyDescent="0.3">
      <c r="A217" s="1">
        <v>472</v>
      </c>
      <c r="C217" t="s">
        <v>418</v>
      </c>
      <c r="D217">
        <v>2017</v>
      </c>
      <c r="E217">
        <v>0</v>
      </c>
      <c r="F217">
        <v>3</v>
      </c>
      <c r="G217" t="s">
        <v>561</v>
      </c>
      <c r="H217" t="s">
        <v>753</v>
      </c>
      <c r="I217" t="s">
        <v>1071</v>
      </c>
      <c r="J217" t="s">
        <v>739</v>
      </c>
      <c r="K217" t="s">
        <v>1032</v>
      </c>
      <c r="L217" t="s">
        <v>1302</v>
      </c>
      <c r="M217" t="s">
        <v>1527</v>
      </c>
      <c r="Z217" t="s">
        <v>2167</v>
      </c>
      <c r="AA217" t="s">
        <v>2166</v>
      </c>
      <c r="AB217" t="s">
        <v>2168</v>
      </c>
    </row>
    <row r="218" spans="1:30" x14ac:dyDescent="0.3">
      <c r="A218" s="1">
        <v>473</v>
      </c>
      <c r="C218" t="s">
        <v>419</v>
      </c>
      <c r="D218">
        <v>2017</v>
      </c>
      <c r="E218">
        <v>0</v>
      </c>
      <c r="F218">
        <v>1</v>
      </c>
      <c r="G218" t="s">
        <v>561</v>
      </c>
      <c r="H218" t="s">
        <v>754</v>
      </c>
      <c r="I218" t="s">
        <v>1072</v>
      </c>
      <c r="Z218" t="s">
        <v>2167</v>
      </c>
    </row>
    <row r="219" spans="1:30" x14ac:dyDescent="0.3">
      <c r="A219" s="1">
        <v>474</v>
      </c>
      <c r="C219" t="s">
        <v>420</v>
      </c>
      <c r="D219">
        <v>2017</v>
      </c>
      <c r="E219">
        <v>0</v>
      </c>
      <c r="F219">
        <v>3</v>
      </c>
      <c r="G219" t="s">
        <v>561</v>
      </c>
      <c r="H219" t="s">
        <v>755</v>
      </c>
      <c r="I219" t="s">
        <v>1073</v>
      </c>
      <c r="J219" t="s">
        <v>1335</v>
      </c>
      <c r="K219" t="s">
        <v>1558</v>
      </c>
      <c r="L219" t="s">
        <v>1735</v>
      </c>
      <c r="M219" t="s">
        <v>1884</v>
      </c>
      <c r="Z219" t="s">
        <v>2167</v>
      </c>
      <c r="AA219" t="s">
        <v>2167</v>
      </c>
      <c r="AB219" t="s">
        <v>2166</v>
      </c>
    </row>
    <row r="220" spans="1:30" x14ac:dyDescent="0.3">
      <c r="A220" s="1">
        <v>475</v>
      </c>
      <c r="C220" t="s">
        <v>421</v>
      </c>
      <c r="D220">
        <v>2017</v>
      </c>
      <c r="E220">
        <v>0</v>
      </c>
      <c r="F220">
        <v>1</v>
      </c>
      <c r="G220" t="s">
        <v>561</v>
      </c>
      <c r="H220" t="s">
        <v>756</v>
      </c>
      <c r="I220" t="s">
        <v>1074</v>
      </c>
      <c r="Z220" t="s">
        <v>2167</v>
      </c>
    </row>
    <row r="221" spans="1:30" x14ac:dyDescent="0.3">
      <c r="A221" s="1">
        <v>476</v>
      </c>
      <c r="C221" t="s">
        <v>422</v>
      </c>
      <c r="D221">
        <v>2017</v>
      </c>
      <c r="E221">
        <v>0</v>
      </c>
      <c r="F221">
        <v>1</v>
      </c>
      <c r="G221" t="s">
        <v>561</v>
      </c>
      <c r="H221" t="s">
        <v>757</v>
      </c>
      <c r="I221" t="s">
        <v>1075</v>
      </c>
      <c r="Z221" t="s">
        <v>2167</v>
      </c>
    </row>
    <row r="222" spans="1:30" x14ac:dyDescent="0.3">
      <c r="A222" s="1">
        <v>477</v>
      </c>
      <c r="C222" t="s">
        <v>423</v>
      </c>
      <c r="D222">
        <v>2017</v>
      </c>
      <c r="E222">
        <v>0</v>
      </c>
      <c r="F222">
        <v>2</v>
      </c>
      <c r="G222" t="s">
        <v>561</v>
      </c>
      <c r="H222" t="s">
        <v>758</v>
      </c>
      <c r="I222" t="s">
        <v>1076</v>
      </c>
      <c r="J222" t="s">
        <v>1336</v>
      </c>
      <c r="K222" t="s">
        <v>1559</v>
      </c>
      <c r="Z222" t="s">
        <v>2166</v>
      </c>
      <c r="AA222" t="s">
        <v>2168</v>
      </c>
    </row>
    <row r="223" spans="1:30" x14ac:dyDescent="0.3">
      <c r="A223" s="1">
        <v>478</v>
      </c>
      <c r="C223" t="s">
        <v>424</v>
      </c>
      <c r="D223">
        <v>2017</v>
      </c>
      <c r="E223">
        <v>0</v>
      </c>
      <c r="F223">
        <v>3</v>
      </c>
      <c r="G223" t="s">
        <v>561</v>
      </c>
      <c r="H223" t="s">
        <v>759</v>
      </c>
      <c r="I223" t="s">
        <v>1077</v>
      </c>
      <c r="J223" t="s">
        <v>1337</v>
      </c>
      <c r="K223" t="s">
        <v>1560</v>
      </c>
      <c r="L223" t="s">
        <v>1736</v>
      </c>
      <c r="M223" t="s">
        <v>1885</v>
      </c>
      <c r="Z223" t="s">
        <v>2166</v>
      </c>
      <c r="AA223" t="s">
        <v>2166</v>
      </c>
      <c r="AB223" t="s">
        <v>2166</v>
      </c>
    </row>
    <row r="224" spans="1:30" x14ac:dyDescent="0.3">
      <c r="A224" s="1">
        <v>479</v>
      </c>
      <c r="B224" s="2" t="s">
        <v>191</v>
      </c>
      <c r="C224" t="s">
        <v>425</v>
      </c>
      <c r="D224">
        <v>2017</v>
      </c>
      <c r="E224">
        <v>0</v>
      </c>
      <c r="F224">
        <v>1</v>
      </c>
      <c r="G224" t="s">
        <v>561</v>
      </c>
      <c r="H224" t="s">
        <v>760</v>
      </c>
      <c r="I224" t="s">
        <v>1078</v>
      </c>
      <c r="Z224" t="s">
        <v>2167</v>
      </c>
    </row>
    <row r="225" spans="1:30" x14ac:dyDescent="0.3">
      <c r="A225" s="1">
        <v>480</v>
      </c>
      <c r="B225" s="2" t="s">
        <v>192</v>
      </c>
      <c r="C225" t="s">
        <v>426</v>
      </c>
      <c r="D225">
        <v>2017</v>
      </c>
      <c r="E225">
        <v>0</v>
      </c>
      <c r="F225">
        <v>1</v>
      </c>
      <c r="G225" t="s">
        <v>561</v>
      </c>
      <c r="H225" t="s">
        <v>761</v>
      </c>
      <c r="I225" t="s">
        <v>1079</v>
      </c>
      <c r="Z225" t="s">
        <v>2166</v>
      </c>
    </row>
    <row r="226" spans="1:30" x14ac:dyDescent="0.3">
      <c r="A226" s="1">
        <v>481</v>
      </c>
      <c r="C226" t="s">
        <v>427</v>
      </c>
      <c r="D226">
        <v>2017</v>
      </c>
      <c r="E226">
        <v>0</v>
      </c>
      <c r="F226">
        <v>1</v>
      </c>
      <c r="G226" t="s">
        <v>561</v>
      </c>
      <c r="H226" t="s">
        <v>762</v>
      </c>
      <c r="I226" t="s">
        <v>1080</v>
      </c>
      <c r="Z226" t="s">
        <v>2168</v>
      </c>
    </row>
    <row r="227" spans="1:30" x14ac:dyDescent="0.3">
      <c r="A227" s="1">
        <v>482</v>
      </c>
      <c r="C227" t="s">
        <v>428</v>
      </c>
      <c r="D227">
        <v>2017</v>
      </c>
      <c r="E227">
        <v>0</v>
      </c>
      <c r="F227">
        <v>2</v>
      </c>
      <c r="G227" t="s">
        <v>561</v>
      </c>
      <c r="H227" t="s">
        <v>763</v>
      </c>
      <c r="I227" t="s">
        <v>1081</v>
      </c>
      <c r="J227" t="s">
        <v>1338</v>
      </c>
      <c r="K227" t="s">
        <v>1561</v>
      </c>
      <c r="Z227" t="s">
        <v>2167</v>
      </c>
      <c r="AA227" t="s">
        <v>2167</v>
      </c>
    </row>
    <row r="228" spans="1:30" x14ac:dyDescent="0.3">
      <c r="A228" s="1">
        <v>483</v>
      </c>
      <c r="C228" t="s">
        <v>429</v>
      </c>
      <c r="D228">
        <v>2017</v>
      </c>
      <c r="E228">
        <v>0</v>
      </c>
      <c r="F228">
        <v>3</v>
      </c>
      <c r="G228" t="s">
        <v>561</v>
      </c>
      <c r="H228" t="s">
        <v>764</v>
      </c>
      <c r="I228" t="s">
        <v>1082</v>
      </c>
      <c r="J228" t="s">
        <v>1339</v>
      </c>
      <c r="K228" t="s">
        <v>1562</v>
      </c>
      <c r="L228" t="s">
        <v>1737</v>
      </c>
      <c r="M228" t="s">
        <v>1886</v>
      </c>
      <c r="Z228" t="s">
        <v>2167</v>
      </c>
      <c r="AA228" t="s">
        <v>2168</v>
      </c>
      <c r="AB228" t="s">
        <v>2167</v>
      </c>
    </row>
    <row r="229" spans="1:30" x14ac:dyDescent="0.3">
      <c r="A229" s="1">
        <v>484</v>
      </c>
      <c r="C229" t="s">
        <v>430</v>
      </c>
      <c r="D229">
        <v>2017</v>
      </c>
      <c r="E229">
        <v>0</v>
      </c>
      <c r="F229">
        <v>5</v>
      </c>
      <c r="G229" t="s">
        <v>561</v>
      </c>
      <c r="H229" t="s">
        <v>765</v>
      </c>
      <c r="I229" t="s">
        <v>1083</v>
      </c>
      <c r="J229" t="s">
        <v>1340</v>
      </c>
      <c r="K229" t="s">
        <v>1563</v>
      </c>
      <c r="L229" t="s">
        <v>1738</v>
      </c>
      <c r="M229" t="s">
        <v>1887</v>
      </c>
      <c r="N229" t="s">
        <v>1975</v>
      </c>
      <c r="O229" t="s">
        <v>2034</v>
      </c>
      <c r="P229" t="s">
        <v>2070</v>
      </c>
      <c r="Q229" t="s">
        <v>2095</v>
      </c>
      <c r="Z229" t="s">
        <v>2167</v>
      </c>
      <c r="AA229" t="s">
        <v>2166</v>
      </c>
      <c r="AB229" t="s">
        <v>2166</v>
      </c>
      <c r="AC229" t="s">
        <v>2167</v>
      </c>
      <c r="AD229" t="s">
        <v>2168</v>
      </c>
    </row>
    <row r="230" spans="1:30" x14ac:dyDescent="0.3">
      <c r="A230" s="1">
        <v>485</v>
      </c>
      <c r="C230" t="s">
        <v>431</v>
      </c>
      <c r="D230">
        <v>2017</v>
      </c>
      <c r="E230">
        <v>0</v>
      </c>
      <c r="F230">
        <v>3</v>
      </c>
      <c r="G230" t="s">
        <v>561</v>
      </c>
      <c r="H230" t="s">
        <v>766</v>
      </c>
      <c r="I230" t="s">
        <v>1084</v>
      </c>
      <c r="J230" t="s">
        <v>1341</v>
      </c>
      <c r="K230" t="s">
        <v>1564</v>
      </c>
      <c r="L230" t="s">
        <v>1739</v>
      </c>
      <c r="M230" t="s">
        <v>1888</v>
      </c>
      <c r="Z230" t="s">
        <v>2166</v>
      </c>
      <c r="AA230" t="s">
        <v>2168</v>
      </c>
      <c r="AB230" t="s">
        <v>2166</v>
      </c>
    </row>
    <row r="231" spans="1:30" x14ac:dyDescent="0.3">
      <c r="A231" s="1">
        <v>486</v>
      </c>
      <c r="C231" t="s">
        <v>432</v>
      </c>
      <c r="D231">
        <v>2017</v>
      </c>
      <c r="E231">
        <v>0</v>
      </c>
      <c r="F231">
        <v>1</v>
      </c>
      <c r="G231" t="s">
        <v>561</v>
      </c>
      <c r="H231" t="s">
        <v>767</v>
      </c>
      <c r="I231" t="s">
        <v>1085</v>
      </c>
      <c r="Z231" t="s">
        <v>2167</v>
      </c>
    </row>
    <row r="232" spans="1:30" x14ac:dyDescent="0.3">
      <c r="A232" s="1">
        <v>487</v>
      </c>
      <c r="C232" t="s">
        <v>433</v>
      </c>
      <c r="D232">
        <v>2017</v>
      </c>
      <c r="E232">
        <v>0</v>
      </c>
      <c r="F232">
        <v>3</v>
      </c>
      <c r="G232" t="s">
        <v>561</v>
      </c>
      <c r="H232" t="s">
        <v>768</v>
      </c>
      <c r="I232" t="s">
        <v>1086</v>
      </c>
      <c r="J232" t="s">
        <v>1342</v>
      </c>
      <c r="K232" t="s">
        <v>1565</v>
      </c>
      <c r="L232" t="s">
        <v>1740</v>
      </c>
      <c r="M232" t="s">
        <v>1889</v>
      </c>
      <c r="Z232" t="s">
        <v>2168</v>
      </c>
      <c r="AA232" t="s">
        <v>2168</v>
      </c>
      <c r="AB232" t="s">
        <v>2168</v>
      </c>
    </row>
    <row r="233" spans="1:30" x14ac:dyDescent="0.3">
      <c r="A233" s="1">
        <v>488</v>
      </c>
      <c r="C233" t="s">
        <v>434</v>
      </c>
      <c r="D233">
        <v>2017</v>
      </c>
      <c r="E233">
        <v>0</v>
      </c>
      <c r="F233">
        <v>1</v>
      </c>
      <c r="G233" t="s">
        <v>561</v>
      </c>
      <c r="H233" t="s">
        <v>769</v>
      </c>
      <c r="I233" t="s">
        <v>1087</v>
      </c>
      <c r="Z233" t="s">
        <v>2167</v>
      </c>
    </row>
    <row r="234" spans="1:30" x14ac:dyDescent="0.3">
      <c r="A234" s="1">
        <v>489</v>
      </c>
      <c r="C234" t="s">
        <v>435</v>
      </c>
      <c r="D234">
        <v>2018</v>
      </c>
      <c r="E234">
        <v>0</v>
      </c>
      <c r="F234">
        <v>1</v>
      </c>
      <c r="G234" t="s">
        <v>561</v>
      </c>
      <c r="H234" t="s">
        <v>770</v>
      </c>
      <c r="I234" t="s">
        <v>1088</v>
      </c>
      <c r="Z234" t="s">
        <v>2168</v>
      </c>
    </row>
    <row r="235" spans="1:30" x14ac:dyDescent="0.3">
      <c r="A235" s="1">
        <v>490</v>
      </c>
      <c r="C235" t="s">
        <v>436</v>
      </c>
      <c r="D235">
        <v>2018</v>
      </c>
      <c r="E235">
        <v>0</v>
      </c>
      <c r="F235">
        <v>2</v>
      </c>
      <c r="G235" t="s">
        <v>561</v>
      </c>
      <c r="H235" t="s">
        <v>771</v>
      </c>
      <c r="I235" t="s">
        <v>1089</v>
      </c>
      <c r="J235" t="s">
        <v>1343</v>
      </c>
      <c r="K235" t="s">
        <v>1566</v>
      </c>
      <c r="Z235" t="s">
        <v>2167</v>
      </c>
      <c r="AA235" t="s">
        <v>2167</v>
      </c>
    </row>
    <row r="236" spans="1:30" x14ac:dyDescent="0.3">
      <c r="A236" s="1">
        <v>491</v>
      </c>
      <c r="C236" t="s">
        <v>437</v>
      </c>
      <c r="D236">
        <v>2018</v>
      </c>
      <c r="E236">
        <v>0</v>
      </c>
      <c r="F236">
        <v>4</v>
      </c>
      <c r="G236" t="s">
        <v>561</v>
      </c>
      <c r="H236" t="s">
        <v>772</v>
      </c>
      <c r="I236" t="s">
        <v>1090</v>
      </c>
      <c r="J236" t="s">
        <v>862</v>
      </c>
      <c r="K236" t="s">
        <v>1173</v>
      </c>
      <c r="L236" t="s">
        <v>1741</v>
      </c>
      <c r="M236" t="s">
        <v>1890</v>
      </c>
      <c r="N236" t="s">
        <v>1976</v>
      </c>
      <c r="O236" t="s">
        <v>2035</v>
      </c>
      <c r="Z236" t="s">
        <v>2167</v>
      </c>
      <c r="AA236" t="s">
        <v>2167</v>
      </c>
      <c r="AB236" t="s">
        <v>2168</v>
      </c>
      <c r="AC236" t="s">
        <v>2166</v>
      </c>
    </row>
    <row r="237" spans="1:30" x14ac:dyDescent="0.3">
      <c r="A237" s="1">
        <v>492</v>
      </c>
      <c r="C237" t="s">
        <v>438</v>
      </c>
      <c r="D237">
        <v>2018</v>
      </c>
      <c r="E237">
        <v>0</v>
      </c>
      <c r="F237">
        <v>2</v>
      </c>
      <c r="G237" t="s">
        <v>561</v>
      </c>
      <c r="H237" t="s">
        <v>773</v>
      </c>
      <c r="I237" t="s">
        <v>1091</v>
      </c>
      <c r="J237" t="s">
        <v>1344</v>
      </c>
      <c r="K237" t="s">
        <v>1567</v>
      </c>
      <c r="Z237" t="s">
        <v>2167</v>
      </c>
      <c r="AA237" t="s">
        <v>2167</v>
      </c>
    </row>
    <row r="238" spans="1:30" x14ac:dyDescent="0.3">
      <c r="A238" s="1">
        <v>493</v>
      </c>
      <c r="C238" t="s">
        <v>439</v>
      </c>
      <c r="D238">
        <v>2018</v>
      </c>
      <c r="E238">
        <v>0</v>
      </c>
      <c r="F238">
        <v>2</v>
      </c>
      <c r="G238" t="s">
        <v>561</v>
      </c>
      <c r="H238" t="s">
        <v>732</v>
      </c>
      <c r="I238" t="s">
        <v>1051</v>
      </c>
      <c r="J238" t="s">
        <v>1345</v>
      </c>
      <c r="K238" t="s">
        <v>1568</v>
      </c>
      <c r="Z238" t="s">
        <v>2167</v>
      </c>
      <c r="AA238" t="s">
        <v>2167</v>
      </c>
    </row>
    <row r="239" spans="1:30" x14ac:dyDescent="0.3">
      <c r="A239" s="1">
        <v>494</v>
      </c>
      <c r="C239" t="s">
        <v>440</v>
      </c>
      <c r="D239">
        <v>2018</v>
      </c>
      <c r="E239">
        <v>0</v>
      </c>
      <c r="F239">
        <v>4</v>
      </c>
      <c r="G239" t="s">
        <v>561</v>
      </c>
      <c r="H239" t="s">
        <v>774</v>
      </c>
      <c r="I239" t="s">
        <v>1092</v>
      </c>
      <c r="J239" t="s">
        <v>1346</v>
      </c>
      <c r="K239" t="s">
        <v>1569</v>
      </c>
      <c r="L239" t="s">
        <v>1742</v>
      </c>
      <c r="M239" t="s">
        <v>1891</v>
      </c>
      <c r="N239" t="s">
        <v>1977</v>
      </c>
      <c r="O239" t="s">
        <v>2036</v>
      </c>
      <c r="Z239" t="s">
        <v>2168</v>
      </c>
      <c r="AA239" t="s">
        <v>2166</v>
      </c>
      <c r="AB239" t="s">
        <v>2168</v>
      </c>
      <c r="AC239" t="s">
        <v>2168</v>
      </c>
    </row>
    <row r="240" spans="1:30" x14ac:dyDescent="0.3">
      <c r="A240" s="1">
        <v>495</v>
      </c>
      <c r="B240" s="2" t="s">
        <v>193</v>
      </c>
      <c r="C240" t="s">
        <v>441</v>
      </c>
      <c r="D240">
        <v>2018</v>
      </c>
      <c r="E240">
        <v>0</v>
      </c>
      <c r="F240">
        <v>2</v>
      </c>
      <c r="G240" t="s">
        <v>561</v>
      </c>
      <c r="H240" t="s">
        <v>775</v>
      </c>
      <c r="I240" t="s">
        <v>1093</v>
      </c>
      <c r="J240" t="s">
        <v>1347</v>
      </c>
      <c r="K240" t="s">
        <v>1570</v>
      </c>
      <c r="Z240" t="s">
        <v>2166</v>
      </c>
      <c r="AA240" t="s">
        <v>2167</v>
      </c>
    </row>
    <row r="241" spans="1:30" x14ac:dyDescent="0.3">
      <c r="A241" s="1">
        <v>496</v>
      </c>
      <c r="C241" t="s">
        <v>442</v>
      </c>
      <c r="D241">
        <v>2018</v>
      </c>
      <c r="E241">
        <v>0</v>
      </c>
      <c r="F241">
        <v>2</v>
      </c>
      <c r="G241" t="s">
        <v>561</v>
      </c>
      <c r="H241" t="s">
        <v>776</v>
      </c>
      <c r="I241" t="s">
        <v>1094</v>
      </c>
      <c r="J241" t="s">
        <v>1348</v>
      </c>
      <c r="K241" t="s">
        <v>1571</v>
      </c>
      <c r="Z241" t="s">
        <v>2167</v>
      </c>
      <c r="AA241" t="s">
        <v>2167</v>
      </c>
    </row>
    <row r="242" spans="1:30" x14ac:dyDescent="0.3">
      <c r="A242" s="1">
        <v>497</v>
      </c>
      <c r="C242" t="s">
        <v>443</v>
      </c>
      <c r="D242">
        <v>2018</v>
      </c>
      <c r="E242">
        <v>0</v>
      </c>
      <c r="F242">
        <v>3</v>
      </c>
      <c r="G242" t="s">
        <v>561</v>
      </c>
      <c r="H242" t="s">
        <v>777</v>
      </c>
      <c r="I242" t="s">
        <v>1095</v>
      </c>
      <c r="J242" t="s">
        <v>1349</v>
      </c>
      <c r="K242" t="s">
        <v>1572</v>
      </c>
      <c r="L242" t="s">
        <v>1743</v>
      </c>
      <c r="M242" t="s">
        <v>1892</v>
      </c>
      <c r="Z242" t="s">
        <v>2167</v>
      </c>
      <c r="AA242" t="s">
        <v>2167</v>
      </c>
      <c r="AB242" t="s">
        <v>2167</v>
      </c>
    </row>
    <row r="243" spans="1:30" x14ac:dyDescent="0.3">
      <c r="A243" s="1">
        <v>498</v>
      </c>
      <c r="C243" t="s">
        <v>444</v>
      </c>
      <c r="D243">
        <v>2018</v>
      </c>
      <c r="E243">
        <v>0</v>
      </c>
      <c r="F243">
        <v>3</v>
      </c>
      <c r="G243" t="s">
        <v>561</v>
      </c>
      <c r="H243" t="s">
        <v>778</v>
      </c>
      <c r="I243" t="s">
        <v>1096</v>
      </c>
      <c r="J243" t="s">
        <v>1350</v>
      </c>
      <c r="K243" t="s">
        <v>1573</v>
      </c>
      <c r="L243" t="s">
        <v>1744</v>
      </c>
      <c r="M243" t="s">
        <v>1893</v>
      </c>
      <c r="Z243" t="s">
        <v>2167</v>
      </c>
      <c r="AA243" t="s">
        <v>2167</v>
      </c>
      <c r="AB243" t="s">
        <v>2167</v>
      </c>
    </row>
    <row r="244" spans="1:30" x14ac:dyDescent="0.3">
      <c r="A244" s="1">
        <v>499</v>
      </c>
      <c r="C244" t="s">
        <v>445</v>
      </c>
      <c r="D244">
        <v>2018</v>
      </c>
      <c r="E244">
        <v>0</v>
      </c>
      <c r="F244">
        <v>1</v>
      </c>
      <c r="G244" t="s">
        <v>561</v>
      </c>
      <c r="H244" t="s">
        <v>722</v>
      </c>
      <c r="I244" t="s">
        <v>1042</v>
      </c>
      <c r="Z244" t="s">
        <v>2167</v>
      </c>
    </row>
    <row r="245" spans="1:30" x14ac:dyDescent="0.3">
      <c r="A245" s="1">
        <v>500</v>
      </c>
      <c r="C245" t="s">
        <v>446</v>
      </c>
      <c r="D245">
        <v>2018</v>
      </c>
      <c r="E245">
        <v>0</v>
      </c>
      <c r="F245">
        <v>1</v>
      </c>
      <c r="G245" t="s">
        <v>561</v>
      </c>
      <c r="H245" t="s">
        <v>706</v>
      </c>
      <c r="I245" t="s">
        <v>1027</v>
      </c>
      <c r="Z245" t="s">
        <v>2167</v>
      </c>
    </row>
    <row r="246" spans="1:30" x14ac:dyDescent="0.3">
      <c r="A246" s="1">
        <v>501</v>
      </c>
      <c r="C246" t="s">
        <v>447</v>
      </c>
      <c r="D246">
        <v>2018</v>
      </c>
      <c r="E246">
        <v>0</v>
      </c>
      <c r="F246">
        <v>1</v>
      </c>
      <c r="G246" t="s">
        <v>561</v>
      </c>
      <c r="H246" t="s">
        <v>779</v>
      </c>
      <c r="I246" t="s">
        <v>1097</v>
      </c>
      <c r="Z246" t="s">
        <v>2167</v>
      </c>
    </row>
    <row r="247" spans="1:30" x14ac:dyDescent="0.3">
      <c r="A247" s="1">
        <v>502</v>
      </c>
      <c r="C247" t="s">
        <v>448</v>
      </c>
      <c r="D247">
        <v>2018</v>
      </c>
      <c r="E247">
        <v>0</v>
      </c>
      <c r="F247">
        <v>3</v>
      </c>
      <c r="G247" t="s">
        <v>561</v>
      </c>
      <c r="H247" t="s">
        <v>780</v>
      </c>
      <c r="I247" t="s">
        <v>1098</v>
      </c>
      <c r="J247" t="s">
        <v>1351</v>
      </c>
      <c r="K247" t="s">
        <v>1574</v>
      </c>
      <c r="L247" t="s">
        <v>1745</v>
      </c>
      <c r="M247" t="s">
        <v>1894</v>
      </c>
      <c r="Z247" t="s">
        <v>2167</v>
      </c>
      <c r="AA247" t="s">
        <v>2168</v>
      </c>
      <c r="AB247" t="s">
        <v>2167</v>
      </c>
    </row>
    <row r="248" spans="1:30" x14ac:dyDescent="0.3">
      <c r="A248" s="1">
        <v>503</v>
      </c>
      <c r="C248" t="s">
        <v>449</v>
      </c>
      <c r="D248">
        <v>2018</v>
      </c>
      <c r="E248">
        <v>0</v>
      </c>
      <c r="F248">
        <v>3</v>
      </c>
      <c r="G248" t="s">
        <v>561</v>
      </c>
      <c r="H248" t="s">
        <v>781</v>
      </c>
      <c r="I248" t="s">
        <v>1099</v>
      </c>
      <c r="J248" t="s">
        <v>1352</v>
      </c>
      <c r="K248" t="s">
        <v>1575</v>
      </c>
      <c r="L248" t="s">
        <v>1746</v>
      </c>
      <c r="M248" t="s">
        <v>1895</v>
      </c>
      <c r="Z248" t="s">
        <v>2167</v>
      </c>
      <c r="AA248" t="s">
        <v>2166</v>
      </c>
      <c r="AB248" t="s">
        <v>2167</v>
      </c>
    </row>
    <row r="249" spans="1:30" x14ac:dyDescent="0.3">
      <c r="A249" s="1">
        <v>504</v>
      </c>
      <c r="C249" t="s">
        <v>450</v>
      </c>
      <c r="D249">
        <v>2018</v>
      </c>
      <c r="E249">
        <v>0</v>
      </c>
      <c r="F249">
        <v>1</v>
      </c>
      <c r="G249" t="s">
        <v>561</v>
      </c>
      <c r="H249" t="s">
        <v>782</v>
      </c>
      <c r="I249" t="s">
        <v>1100</v>
      </c>
      <c r="Z249" t="s">
        <v>2167</v>
      </c>
    </row>
    <row r="250" spans="1:30" x14ac:dyDescent="0.3">
      <c r="A250" s="1">
        <v>505</v>
      </c>
      <c r="C250" t="s">
        <v>451</v>
      </c>
      <c r="D250">
        <v>2018</v>
      </c>
      <c r="E250">
        <v>0</v>
      </c>
      <c r="F250">
        <v>2</v>
      </c>
      <c r="G250" t="s">
        <v>561</v>
      </c>
      <c r="H250" t="s">
        <v>783</v>
      </c>
      <c r="I250" t="s">
        <v>1101</v>
      </c>
      <c r="J250" t="s">
        <v>1353</v>
      </c>
      <c r="K250" t="s">
        <v>1576</v>
      </c>
      <c r="Z250" t="s">
        <v>2167</v>
      </c>
      <c r="AA250" t="s">
        <v>2167</v>
      </c>
    </row>
    <row r="251" spans="1:30" x14ac:dyDescent="0.3">
      <c r="A251" s="1">
        <v>506</v>
      </c>
      <c r="C251" t="s">
        <v>452</v>
      </c>
      <c r="D251">
        <v>2018</v>
      </c>
      <c r="E251">
        <v>0</v>
      </c>
      <c r="F251">
        <v>5</v>
      </c>
      <c r="G251" t="s">
        <v>561</v>
      </c>
      <c r="H251" t="s">
        <v>766</v>
      </c>
      <c r="I251" t="s">
        <v>1084</v>
      </c>
      <c r="J251" t="s">
        <v>1354</v>
      </c>
      <c r="K251" t="s">
        <v>1577</v>
      </c>
      <c r="L251" t="s">
        <v>1747</v>
      </c>
      <c r="M251" t="s">
        <v>1896</v>
      </c>
      <c r="N251" t="s">
        <v>1978</v>
      </c>
      <c r="O251" t="s">
        <v>2037</v>
      </c>
      <c r="P251" t="s">
        <v>2071</v>
      </c>
      <c r="Q251" t="s">
        <v>2096</v>
      </c>
      <c r="Z251" t="s">
        <v>2166</v>
      </c>
      <c r="AA251" t="s">
        <v>2168</v>
      </c>
      <c r="AB251" t="s">
        <v>2166</v>
      </c>
      <c r="AC251" t="s">
        <v>2167</v>
      </c>
      <c r="AD251" t="s">
        <v>2167</v>
      </c>
    </row>
    <row r="252" spans="1:30" x14ac:dyDescent="0.3">
      <c r="A252" s="1">
        <v>507</v>
      </c>
      <c r="C252" t="s">
        <v>453</v>
      </c>
      <c r="D252">
        <v>2018</v>
      </c>
      <c r="E252">
        <v>0</v>
      </c>
      <c r="F252">
        <v>4</v>
      </c>
      <c r="G252" t="s">
        <v>561</v>
      </c>
      <c r="H252" t="s">
        <v>784</v>
      </c>
      <c r="I252" t="s">
        <v>1102</v>
      </c>
      <c r="J252" t="s">
        <v>1355</v>
      </c>
      <c r="K252" t="s">
        <v>1578</v>
      </c>
      <c r="L252" t="s">
        <v>1748</v>
      </c>
      <c r="M252" t="s">
        <v>1897</v>
      </c>
      <c r="N252" t="s">
        <v>1979</v>
      </c>
      <c r="O252" t="s">
        <v>2038</v>
      </c>
      <c r="Z252" t="s">
        <v>2168</v>
      </c>
      <c r="AA252" t="s">
        <v>2168</v>
      </c>
      <c r="AB252" t="s">
        <v>2168</v>
      </c>
      <c r="AC252" t="s">
        <v>2168</v>
      </c>
    </row>
    <row r="253" spans="1:30" x14ac:dyDescent="0.3">
      <c r="A253" s="1">
        <v>508</v>
      </c>
      <c r="C253" t="s">
        <v>454</v>
      </c>
      <c r="D253">
        <v>2018</v>
      </c>
      <c r="E253">
        <v>0</v>
      </c>
      <c r="F253">
        <v>1</v>
      </c>
      <c r="G253" t="s">
        <v>561</v>
      </c>
      <c r="H253" t="s">
        <v>785</v>
      </c>
      <c r="I253" t="s">
        <v>1103</v>
      </c>
      <c r="Z253" t="s">
        <v>2168</v>
      </c>
    </row>
    <row r="254" spans="1:30" x14ac:dyDescent="0.3">
      <c r="A254" s="1">
        <v>509</v>
      </c>
      <c r="B254" s="2" t="s">
        <v>194</v>
      </c>
      <c r="C254" t="s">
        <v>455</v>
      </c>
      <c r="D254">
        <v>2018</v>
      </c>
      <c r="E254">
        <v>0</v>
      </c>
      <c r="F254">
        <v>1</v>
      </c>
      <c r="G254" t="s">
        <v>561</v>
      </c>
      <c r="H254" t="s">
        <v>786</v>
      </c>
      <c r="I254" t="s">
        <v>1104</v>
      </c>
      <c r="Z254" t="s">
        <v>2166</v>
      </c>
    </row>
    <row r="255" spans="1:30" x14ac:dyDescent="0.3">
      <c r="A255" s="1">
        <v>510</v>
      </c>
      <c r="C255" t="s">
        <v>456</v>
      </c>
      <c r="D255">
        <v>2018</v>
      </c>
      <c r="E255">
        <v>0</v>
      </c>
      <c r="F255">
        <v>1</v>
      </c>
      <c r="G255" t="s">
        <v>561</v>
      </c>
      <c r="H255" t="s">
        <v>787</v>
      </c>
      <c r="I255" t="s">
        <v>1105</v>
      </c>
      <c r="Z255" t="s">
        <v>2167</v>
      </c>
    </row>
    <row r="256" spans="1:30" x14ac:dyDescent="0.3">
      <c r="A256" s="1">
        <v>511</v>
      </c>
      <c r="C256" t="s">
        <v>457</v>
      </c>
      <c r="D256">
        <v>2018</v>
      </c>
      <c r="E256">
        <v>0</v>
      </c>
      <c r="F256">
        <v>2</v>
      </c>
      <c r="G256" t="s">
        <v>561</v>
      </c>
      <c r="H256" t="s">
        <v>788</v>
      </c>
      <c r="I256" t="s">
        <v>1106</v>
      </c>
      <c r="J256" t="s">
        <v>1356</v>
      </c>
      <c r="K256" t="s">
        <v>1579</v>
      </c>
      <c r="Z256" t="s">
        <v>2167</v>
      </c>
      <c r="AA256" t="s">
        <v>2167</v>
      </c>
    </row>
    <row r="257" spans="1:34" x14ac:dyDescent="0.3">
      <c r="A257" s="1">
        <v>512</v>
      </c>
      <c r="C257" t="s">
        <v>458</v>
      </c>
      <c r="D257">
        <v>2018</v>
      </c>
      <c r="E257">
        <v>0</v>
      </c>
      <c r="F257">
        <v>1</v>
      </c>
      <c r="G257" t="s">
        <v>561</v>
      </c>
      <c r="H257" t="s">
        <v>789</v>
      </c>
      <c r="I257" t="s">
        <v>1107</v>
      </c>
      <c r="Z257" t="s">
        <v>2167</v>
      </c>
    </row>
    <row r="258" spans="1:34" x14ac:dyDescent="0.3">
      <c r="A258" s="1">
        <v>513</v>
      </c>
      <c r="C258" t="s">
        <v>459</v>
      </c>
      <c r="D258">
        <v>2018</v>
      </c>
      <c r="E258">
        <v>0</v>
      </c>
      <c r="F258">
        <v>1</v>
      </c>
      <c r="G258" t="s">
        <v>561</v>
      </c>
      <c r="H258" t="s">
        <v>790</v>
      </c>
      <c r="I258" t="s">
        <v>1108</v>
      </c>
      <c r="Z258" t="s">
        <v>2168</v>
      </c>
    </row>
    <row r="259" spans="1:34" x14ac:dyDescent="0.3">
      <c r="A259" s="1">
        <v>514</v>
      </c>
      <c r="C259" t="s">
        <v>460</v>
      </c>
      <c r="D259">
        <v>2018</v>
      </c>
      <c r="E259">
        <v>0</v>
      </c>
      <c r="F259">
        <v>1</v>
      </c>
      <c r="G259" t="s">
        <v>561</v>
      </c>
      <c r="H259" t="s">
        <v>791</v>
      </c>
      <c r="I259" t="s">
        <v>1109</v>
      </c>
      <c r="Z259" t="s">
        <v>2168</v>
      </c>
    </row>
    <row r="260" spans="1:34" x14ac:dyDescent="0.3">
      <c r="A260" s="1">
        <v>515</v>
      </c>
      <c r="C260" t="s">
        <v>461</v>
      </c>
      <c r="D260">
        <v>2018</v>
      </c>
      <c r="E260">
        <v>0</v>
      </c>
      <c r="F260">
        <v>3</v>
      </c>
      <c r="G260" t="s">
        <v>561</v>
      </c>
      <c r="H260" t="s">
        <v>792</v>
      </c>
      <c r="I260" t="s">
        <v>1110</v>
      </c>
      <c r="J260" t="s">
        <v>1357</v>
      </c>
      <c r="K260" t="s">
        <v>1580</v>
      </c>
      <c r="L260" t="s">
        <v>1749</v>
      </c>
      <c r="M260" t="s">
        <v>1898</v>
      </c>
      <c r="Z260" t="s">
        <v>2167</v>
      </c>
      <c r="AA260" t="s">
        <v>2167</v>
      </c>
      <c r="AB260" t="s">
        <v>2168</v>
      </c>
    </row>
    <row r="261" spans="1:34" x14ac:dyDescent="0.3">
      <c r="A261" s="1">
        <v>516</v>
      </c>
      <c r="C261" t="s">
        <v>462</v>
      </c>
      <c r="D261">
        <v>2018</v>
      </c>
      <c r="E261">
        <v>0</v>
      </c>
      <c r="F261">
        <v>2</v>
      </c>
      <c r="G261" t="s">
        <v>561</v>
      </c>
      <c r="H261" t="s">
        <v>793</v>
      </c>
      <c r="I261" t="s">
        <v>1111</v>
      </c>
      <c r="J261" t="s">
        <v>1358</v>
      </c>
      <c r="K261" t="s">
        <v>1581</v>
      </c>
      <c r="Z261" t="s">
        <v>2167</v>
      </c>
      <c r="AA261" t="s">
        <v>2166</v>
      </c>
    </row>
    <row r="262" spans="1:34" x14ac:dyDescent="0.3">
      <c r="A262" s="1">
        <v>517</v>
      </c>
      <c r="C262" t="s">
        <v>463</v>
      </c>
      <c r="D262">
        <v>2018</v>
      </c>
      <c r="E262">
        <v>0</v>
      </c>
      <c r="F262">
        <v>6</v>
      </c>
      <c r="G262" t="s">
        <v>561</v>
      </c>
      <c r="H262" t="s">
        <v>794</v>
      </c>
      <c r="I262" t="s">
        <v>1112</v>
      </c>
      <c r="J262" t="s">
        <v>1359</v>
      </c>
      <c r="K262" t="s">
        <v>1582</v>
      </c>
      <c r="L262" t="s">
        <v>1750</v>
      </c>
      <c r="M262" t="s">
        <v>1899</v>
      </c>
      <c r="N262" t="s">
        <v>1980</v>
      </c>
      <c r="O262" t="s">
        <v>2039</v>
      </c>
      <c r="P262" t="s">
        <v>2072</v>
      </c>
      <c r="Q262" t="s">
        <v>2097</v>
      </c>
      <c r="R262" t="s">
        <v>2114</v>
      </c>
      <c r="S262" t="s">
        <v>2129</v>
      </c>
      <c r="Z262" t="s">
        <v>2167</v>
      </c>
      <c r="AA262" t="s">
        <v>2167</v>
      </c>
      <c r="AB262" t="s">
        <v>2167</v>
      </c>
      <c r="AC262" t="s">
        <v>2167</v>
      </c>
      <c r="AD262" t="s">
        <v>2167</v>
      </c>
      <c r="AE262" t="s">
        <v>2167</v>
      </c>
    </row>
    <row r="263" spans="1:34" x14ac:dyDescent="0.3">
      <c r="A263" s="1">
        <v>518</v>
      </c>
      <c r="C263" t="s">
        <v>464</v>
      </c>
      <c r="D263">
        <v>2019</v>
      </c>
      <c r="E263">
        <v>0</v>
      </c>
      <c r="F263">
        <v>1</v>
      </c>
      <c r="G263" t="s">
        <v>561</v>
      </c>
      <c r="H263" t="s">
        <v>770</v>
      </c>
      <c r="I263" t="s">
        <v>1088</v>
      </c>
      <c r="Z263" t="s">
        <v>2168</v>
      </c>
    </row>
    <row r="264" spans="1:34" x14ac:dyDescent="0.3">
      <c r="A264" s="1">
        <v>519</v>
      </c>
      <c r="C264" t="s">
        <v>465</v>
      </c>
      <c r="D264">
        <v>2019</v>
      </c>
      <c r="E264">
        <v>0</v>
      </c>
      <c r="F264">
        <v>9</v>
      </c>
      <c r="G264" t="s">
        <v>561</v>
      </c>
      <c r="H264" t="s">
        <v>795</v>
      </c>
      <c r="I264" t="s">
        <v>1113</v>
      </c>
      <c r="J264" t="s">
        <v>1360</v>
      </c>
      <c r="K264" t="s">
        <v>1583</v>
      </c>
      <c r="L264" t="s">
        <v>1751</v>
      </c>
      <c r="M264" t="s">
        <v>1900</v>
      </c>
      <c r="N264" t="s">
        <v>1981</v>
      </c>
      <c r="O264" t="s">
        <v>1140</v>
      </c>
      <c r="P264" t="s">
        <v>2073</v>
      </c>
      <c r="Q264" t="s">
        <v>1158</v>
      </c>
      <c r="R264" t="s">
        <v>2115</v>
      </c>
      <c r="S264" t="s">
        <v>2130</v>
      </c>
      <c r="T264" t="s">
        <v>2140</v>
      </c>
      <c r="U264" t="s">
        <v>2147</v>
      </c>
      <c r="V264" t="s">
        <v>2152</v>
      </c>
      <c r="W264" t="s">
        <v>2156</v>
      </c>
      <c r="X264" t="s">
        <v>2160</v>
      </c>
      <c r="Y264" t="s">
        <v>2164</v>
      </c>
      <c r="Z264" t="s">
        <v>2167</v>
      </c>
      <c r="AA264" t="s">
        <v>2167</v>
      </c>
      <c r="AB264" t="s">
        <v>2166</v>
      </c>
      <c r="AC264" t="s">
        <v>2167</v>
      </c>
      <c r="AD264" t="s">
        <v>2167</v>
      </c>
      <c r="AE264" t="s">
        <v>2167</v>
      </c>
      <c r="AF264" t="s">
        <v>2167</v>
      </c>
      <c r="AG264" t="s">
        <v>2167</v>
      </c>
      <c r="AH264" t="s">
        <v>2167</v>
      </c>
    </row>
    <row r="265" spans="1:34" x14ac:dyDescent="0.3">
      <c r="A265" s="1">
        <v>520</v>
      </c>
      <c r="C265" t="s">
        <v>466</v>
      </c>
      <c r="D265">
        <v>2019</v>
      </c>
      <c r="E265">
        <v>0</v>
      </c>
      <c r="F265">
        <v>1</v>
      </c>
      <c r="G265" t="s">
        <v>561</v>
      </c>
      <c r="H265" t="s">
        <v>796</v>
      </c>
      <c r="I265" t="s">
        <v>1114</v>
      </c>
      <c r="Z265" t="s">
        <v>2167</v>
      </c>
    </row>
    <row r="266" spans="1:34" x14ac:dyDescent="0.3">
      <c r="A266" s="1">
        <v>521</v>
      </c>
      <c r="C266" t="s">
        <v>467</v>
      </c>
      <c r="D266">
        <v>2019</v>
      </c>
      <c r="E266">
        <v>0</v>
      </c>
      <c r="F266">
        <v>4</v>
      </c>
      <c r="G266" t="s">
        <v>561</v>
      </c>
      <c r="H266" t="s">
        <v>797</v>
      </c>
      <c r="I266" t="s">
        <v>1115</v>
      </c>
      <c r="J266" t="s">
        <v>1361</v>
      </c>
      <c r="K266" t="s">
        <v>1584</v>
      </c>
      <c r="L266" t="s">
        <v>1752</v>
      </c>
      <c r="M266" t="s">
        <v>1901</v>
      </c>
      <c r="N266" t="s">
        <v>1982</v>
      </c>
      <c r="O266" t="s">
        <v>2040</v>
      </c>
      <c r="Z266" t="s">
        <v>2167</v>
      </c>
      <c r="AA266" t="s">
        <v>2167</v>
      </c>
      <c r="AB266" t="s">
        <v>2167</v>
      </c>
      <c r="AC266" t="s">
        <v>2167</v>
      </c>
    </row>
    <row r="267" spans="1:34" x14ac:dyDescent="0.3">
      <c r="A267" s="1">
        <v>522</v>
      </c>
      <c r="C267" t="s">
        <v>468</v>
      </c>
      <c r="D267">
        <v>2019</v>
      </c>
      <c r="E267">
        <v>0</v>
      </c>
      <c r="F267">
        <v>3</v>
      </c>
      <c r="G267" t="s">
        <v>561</v>
      </c>
      <c r="H267" t="s">
        <v>798</v>
      </c>
      <c r="I267" t="s">
        <v>1116</v>
      </c>
      <c r="J267" t="s">
        <v>1362</v>
      </c>
      <c r="K267" t="s">
        <v>1585</v>
      </c>
      <c r="L267" t="s">
        <v>1753</v>
      </c>
      <c r="M267" t="s">
        <v>1902</v>
      </c>
      <c r="Z267" t="s">
        <v>2166</v>
      </c>
      <c r="AA267" t="s">
        <v>2167</v>
      </c>
      <c r="AB267" t="s">
        <v>2167</v>
      </c>
    </row>
    <row r="268" spans="1:34" x14ac:dyDescent="0.3">
      <c r="A268" s="1">
        <v>523</v>
      </c>
      <c r="C268" t="s">
        <v>469</v>
      </c>
      <c r="D268">
        <v>2019</v>
      </c>
      <c r="E268">
        <v>0</v>
      </c>
      <c r="F268">
        <v>2</v>
      </c>
      <c r="G268" t="s">
        <v>561</v>
      </c>
      <c r="H268" t="s">
        <v>799</v>
      </c>
      <c r="I268" t="s">
        <v>1117</v>
      </c>
      <c r="J268" t="s">
        <v>1363</v>
      </c>
      <c r="K268" t="s">
        <v>1586</v>
      </c>
      <c r="Z268" t="s">
        <v>2167</v>
      </c>
      <c r="AA268" t="s">
        <v>2167</v>
      </c>
    </row>
    <row r="269" spans="1:34" x14ac:dyDescent="0.3">
      <c r="A269" s="1">
        <v>524</v>
      </c>
      <c r="C269" t="s">
        <v>470</v>
      </c>
      <c r="D269">
        <v>2019</v>
      </c>
      <c r="E269">
        <v>0</v>
      </c>
      <c r="F269">
        <v>1</v>
      </c>
      <c r="G269" t="s">
        <v>561</v>
      </c>
      <c r="H269" t="s">
        <v>800</v>
      </c>
      <c r="I269" t="s">
        <v>1074</v>
      </c>
      <c r="Z269" t="s">
        <v>2167</v>
      </c>
    </row>
    <row r="270" spans="1:34" x14ac:dyDescent="0.3">
      <c r="A270" s="1">
        <v>525</v>
      </c>
      <c r="C270" t="s">
        <v>471</v>
      </c>
      <c r="D270">
        <v>2019</v>
      </c>
      <c r="E270">
        <v>0</v>
      </c>
      <c r="F270">
        <v>2</v>
      </c>
      <c r="G270" t="s">
        <v>561</v>
      </c>
      <c r="H270" t="s">
        <v>801</v>
      </c>
      <c r="I270" t="s">
        <v>1118</v>
      </c>
      <c r="J270" t="s">
        <v>1364</v>
      </c>
      <c r="K270" t="s">
        <v>1587</v>
      </c>
      <c r="Z270" t="s">
        <v>2167</v>
      </c>
      <c r="AA270" t="s">
        <v>2167</v>
      </c>
    </row>
    <row r="271" spans="1:34" x14ac:dyDescent="0.3">
      <c r="A271" s="1">
        <v>526</v>
      </c>
      <c r="C271" t="s">
        <v>472</v>
      </c>
      <c r="D271">
        <v>2019</v>
      </c>
      <c r="E271">
        <v>0</v>
      </c>
      <c r="F271">
        <v>1</v>
      </c>
      <c r="G271" t="s">
        <v>561</v>
      </c>
      <c r="H271" t="s">
        <v>802</v>
      </c>
      <c r="I271" t="s">
        <v>1119</v>
      </c>
      <c r="Z271" t="s">
        <v>2166</v>
      </c>
    </row>
    <row r="272" spans="1:34" x14ac:dyDescent="0.3">
      <c r="A272" s="1">
        <v>527</v>
      </c>
      <c r="C272" t="s">
        <v>473</v>
      </c>
      <c r="D272">
        <v>2019</v>
      </c>
      <c r="E272">
        <v>0</v>
      </c>
      <c r="F272">
        <v>3</v>
      </c>
      <c r="G272" t="s">
        <v>561</v>
      </c>
      <c r="H272" t="s">
        <v>803</v>
      </c>
      <c r="I272" t="s">
        <v>1049</v>
      </c>
      <c r="J272" t="s">
        <v>1365</v>
      </c>
      <c r="K272" t="s">
        <v>1543</v>
      </c>
      <c r="L272" t="s">
        <v>1754</v>
      </c>
      <c r="M272" t="s">
        <v>1903</v>
      </c>
      <c r="Z272" t="s">
        <v>2168</v>
      </c>
      <c r="AA272" t="s">
        <v>2166</v>
      </c>
      <c r="AB272" t="s">
        <v>2166</v>
      </c>
    </row>
    <row r="273" spans="1:31" x14ac:dyDescent="0.3">
      <c r="A273" s="1">
        <v>528</v>
      </c>
      <c r="C273" t="s">
        <v>474</v>
      </c>
      <c r="D273">
        <v>2019</v>
      </c>
      <c r="E273">
        <v>0</v>
      </c>
      <c r="F273">
        <v>2</v>
      </c>
      <c r="G273" t="s">
        <v>561</v>
      </c>
      <c r="H273" t="s">
        <v>804</v>
      </c>
      <c r="I273" t="s">
        <v>1120</v>
      </c>
      <c r="J273" t="s">
        <v>1366</v>
      </c>
      <c r="K273" t="s">
        <v>1588</v>
      </c>
      <c r="Z273" t="s">
        <v>2167</v>
      </c>
      <c r="AA273" t="s">
        <v>2167</v>
      </c>
    </row>
    <row r="274" spans="1:31" x14ac:dyDescent="0.3">
      <c r="A274" s="1">
        <v>529</v>
      </c>
      <c r="C274" t="s">
        <v>475</v>
      </c>
      <c r="D274">
        <v>2019</v>
      </c>
      <c r="E274">
        <v>0</v>
      </c>
      <c r="F274">
        <v>6</v>
      </c>
      <c r="G274" t="s">
        <v>561</v>
      </c>
      <c r="H274" t="s">
        <v>805</v>
      </c>
      <c r="I274" t="s">
        <v>1121</v>
      </c>
      <c r="J274" t="s">
        <v>1367</v>
      </c>
      <c r="K274" t="s">
        <v>1032</v>
      </c>
      <c r="L274" t="s">
        <v>1755</v>
      </c>
      <c r="M274" t="s">
        <v>1904</v>
      </c>
      <c r="N274" t="s">
        <v>1983</v>
      </c>
      <c r="O274" t="s">
        <v>2041</v>
      </c>
      <c r="P274" t="s">
        <v>2074</v>
      </c>
      <c r="Q274" t="s">
        <v>2098</v>
      </c>
      <c r="R274" t="s">
        <v>2116</v>
      </c>
      <c r="S274" t="s">
        <v>1527</v>
      </c>
      <c r="Z274" t="s">
        <v>2166</v>
      </c>
      <c r="AA274" t="s">
        <v>2166</v>
      </c>
      <c r="AB274" t="s">
        <v>2167</v>
      </c>
      <c r="AC274" t="s">
        <v>2166</v>
      </c>
      <c r="AD274" t="s">
        <v>2166</v>
      </c>
      <c r="AE274" t="s">
        <v>2168</v>
      </c>
    </row>
    <row r="275" spans="1:31" x14ac:dyDescent="0.3">
      <c r="A275" s="1">
        <v>530</v>
      </c>
      <c r="C275" t="s">
        <v>476</v>
      </c>
      <c r="D275">
        <v>2019</v>
      </c>
      <c r="E275">
        <v>0</v>
      </c>
      <c r="F275">
        <v>1</v>
      </c>
      <c r="G275" t="s">
        <v>561</v>
      </c>
      <c r="H275" t="s">
        <v>629</v>
      </c>
      <c r="I275" t="s">
        <v>951</v>
      </c>
      <c r="Z275" t="s">
        <v>2168</v>
      </c>
    </row>
    <row r="276" spans="1:31" x14ac:dyDescent="0.3">
      <c r="A276" s="1">
        <v>531</v>
      </c>
      <c r="C276" t="s">
        <v>477</v>
      </c>
      <c r="D276">
        <v>2019</v>
      </c>
      <c r="E276">
        <v>0</v>
      </c>
      <c r="F276">
        <v>1</v>
      </c>
      <c r="G276" t="s">
        <v>561</v>
      </c>
      <c r="H276" t="s">
        <v>806</v>
      </c>
      <c r="I276" t="s">
        <v>1122</v>
      </c>
      <c r="Z276" t="s">
        <v>2167</v>
      </c>
    </row>
    <row r="277" spans="1:31" x14ac:dyDescent="0.3">
      <c r="A277" s="1">
        <v>532</v>
      </c>
      <c r="C277" t="s">
        <v>478</v>
      </c>
      <c r="D277">
        <v>2019</v>
      </c>
      <c r="E277">
        <v>0</v>
      </c>
      <c r="F277">
        <v>2</v>
      </c>
      <c r="G277" t="s">
        <v>561</v>
      </c>
      <c r="H277" t="s">
        <v>807</v>
      </c>
      <c r="I277" t="s">
        <v>1123</v>
      </c>
      <c r="J277" t="s">
        <v>800</v>
      </c>
      <c r="K277" t="s">
        <v>1074</v>
      </c>
      <c r="Z277" t="s">
        <v>2167</v>
      </c>
      <c r="AA277" t="s">
        <v>2167</v>
      </c>
    </row>
    <row r="278" spans="1:31" x14ac:dyDescent="0.3">
      <c r="A278" s="1">
        <v>533</v>
      </c>
      <c r="C278" t="s">
        <v>479</v>
      </c>
      <c r="D278">
        <v>2019</v>
      </c>
      <c r="E278">
        <v>0</v>
      </c>
      <c r="F278">
        <v>1</v>
      </c>
      <c r="G278" t="s">
        <v>561</v>
      </c>
      <c r="H278" t="s">
        <v>571</v>
      </c>
      <c r="I278" t="s">
        <v>893</v>
      </c>
      <c r="Z278" t="s">
        <v>2166</v>
      </c>
    </row>
    <row r="279" spans="1:31" x14ac:dyDescent="0.3">
      <c r="A279" s="1">
        <v>534</v>
      </c>
      <c r="C279" t="s">
        <v>480</v>
      </c>
      <c r="D279">
        <v>2019</v>
      </c>
      <c r="E279">
        <v>0</v>
      </c>
      <c r="F279">
        <v>2</v>
      </c>
      <c r="G279" t="s">
        <v>561</v>
      </c>
      <c r="H279" t="s">
        <v>808</v>
      </c>
      <c r="I279" t="s">
        <v>999</v>
      </c>
      <c r="J279" t="s">
        <v>1368</v>
      </c>
      <c r="K279" t="s">
        <v>1589</v>
      </c>
      <c r="Z279" t="s">
        <v>2166</v>
      </c>
      <c r="AA279" t="s">
        <v>2168</v>
      </c>
    </row>
    <row r="280" spans="1:31" x14ac:dyDescent="0.3">
      <c r="A280" s="1">
        <v>535</v>
      </c>
      <c r="C280" t="s">
        <v>481</v>
      </c>
      <c r="D280">
        <v>2019</v>
      </c>
      <c r="E280">
        <v>0</v>
      </c>
      <c r="F280">
        <v>2</v>
      </c>
      <c r="G280" t="s">
        <v>561</v>
      </c>
      <c r="H280" t="s">
        <v>809</v>
      </c>
      <c r="I280" t="s">
        <v>1124</v>
      </c>
      <c r="J280" t="s">
        <v>1369</v>
      </c>
      <c r="K280" t="s">
        <v>1590</v>
      </c>
      <c r="Z280" t="s">
        <v>2167</v>
      </c>
      <c r="AA280" t="s">
        <v>2168</v>
      </c>
    </row>
    <row r="281" spans="1:31" x14ac:dyDescent="0.3">
      <c r="A281" s="1">
        <v>536</v>
      </c>
      <c r="C281" t="s">
        <v>482</v>
      </c>
      <c r="D281">
        <v>2019</v>
      </c>
      <c r="E281">
        <v>0</v>
      </c>
      <c r="F281">
        <v>3</v>
      </c>
      <c r="G281" t="s">
        <v>561</v>
      </c>
      <c r="H281" t="s">
        <v>708</v>
      </c>
      <c r="I281" t="s">
        <v>1029</v>
      </c>
      <c r="J281" t="s">
        <v>1370</v>
      </c>
      <c r="K281" t="s">
        <v>1591</v>
      </c>
      <c r="L281" t="s">
        <v>1756</v>
      </c>
      <c r="M281" t="s">
        <v>1905</v>
      </c>
      <c r="Z281" t="s">
        <v>2166</v>
      </c>
      <c r="AA281" t="s">
        <v>2166</v>
      </c>
      <c r="AB281" t="s">
        <v>2166</v>
      </c>
    </row>
    <row r="282" spans="1:31" x14ac:dyDescent="0.3">
      <c r="A282" s="1">
        <v>537</v>
      </c>
      <c r="C282" t="s">
        <v>483</v>
      </c>
      <c r="D282">
        <v>2019</v>
      </c>
      <c r="E282">
        <v>0</v>
      </c>
      <c r="F282">
        <v>1</v>
      </c>
      <c r="G282" t="s">
        <v>561</v>
      </c>
      <c r="H282" t="s">
        <v>810</v>
      </c>
      <c r="I282" t="s">
        <v>1125</v>
      </c>
      <c r="Z282" t="s">
        <v>2167</v>
      </c>
    </row>
    <row r="283" spans="1:31" x14ac:dyDescent="0.3">
      <c r="A283" s="1">
        <v>538</v>
      </c>
      <c r="C283" t="s">
        <v>484</v>
      </c>
      <c r="D283">
        <v>2019</v>
      </c>
      <c r="E283">
        <v>0</v>
      </c>
      <c r="F283">
        <v>2</v>
      </c>
      <c r="G283" t="s">
        <v>561</v>
      </c>
      <c r="H283" t="s">
        <v>811</v>
      </c>
      <c r="I283" t="s">
        <v>1126</v>
      </c>
      <c r="J283" t="s">
        <v>1371</v>
      </c>
      <c r="K283" t="s">
        <v>1592</v>
      </c>
      <c r="Z283" t="s">
        <v>2168</v>
      </c>
      <c r="AA283" t="s">
        <v>2168</v>
      </c>
    </row>
    <row r="284" spans="1:31" x14ac:dyDescent="0.3">
      <c r="A284" s="1">
        <v>539</v>
      </c>
      <c r="C284" t="s">
        <v>485</v>
      </c>
      <c r="D284">
        <v>2019</v>
      </c>
      <c r="E284">
        <v>0</v>
      </c>
      <c r="F284">
        <v>3</v>
      </c>
      <c r="G284" t="s">
        <v>561</v>
      </c>
      <c r="H284" t="s">
        <v>812</v>
      </c>
      <c r="I284" t="s">
        <v>1127</v>
      </c>
      <c r="J284" t="s">
        <v>1372</v>
      </c>
      <c r="K284" t="s">
        <v>1593</v>
      </c>
      <c r="L284" t="s">
        <v>1757</v>
      </c>
      <c r="M284" t="s">
        <v>1906</v>
      </c>
      <c r="Z284" t="s">
        <v>2167</v>
      </c>
      <c r="AA284" t="s">
        <v>2167</v>
      </c>
      <c r="AB284" t="s">
        <v>2167</v>
      </c>
    </row>
    <row r="285" spans="1:31" x14ac:dyDescent="0.3">
      <c r="A285" s="1">
        <v>540</v>
      </c>
      <c r="C285" t="s">
        <v>486</v>
      </c>
      <c r="D285">
        <v>2019</v>
      </c>
      <c r="E285">
        <v>0</v>
      </c>
      <c r="F285">
        <v>3</v>
      </c>
      <c r="G285" t="s">
        <v>561</v>
      </c>
      <c r="H285" t="s">
        <v>813</v>
      </c>
      <c r="I285" t="s">
        <v>1128</v>
      </c>
      <c r="J285" t="s">
        <v>1373</v>
      </c>
      <c r="K285" t="s">
        <v>1594</v>
      </c>
      <c r="L285" t="s">
        <v>1758</v>
      </c>
      <c r="M285" t="s">
        <v>1907</v>
      </c>
      <c r="Z285" t="s">
        <v>2167</v>
      </c>
      <c r="AA285" t="s">
        <v>2167</v>
      </c>
      <c r="AB285" t="s">
        <v>2167</v>
      </c>
    </row>
    <row r="286" spans="1:31" x14ac:dyDescent="0.3">
      <c r="A286" s="1">
        <v>541</v>
      </c>
      <c r="C286" t="s">
        <v>487</v>
      </c>
      <c r="D286">
        <v>2019</v>
      </c>
      <c r="E286">
        <v>0</v>
      </c>
      <c r="F286">
        <v>3</v>
      </c>
      <c r="G286" t="s">
        <v>561</v>
      </c>
      <c r="H286" t="s">
        <v>814</v>
      </c>
      <c r="I286" t="s">
        <v>1129</v>
      </c>
      <c r="J286" t="s">
        <v>1374</v>
      </c>
      <c r="K286" t="s">
        <v>1595</v>
      </c>
      <c r="L286" t="s">
        <v>1759</v>
      </c>
      <c r="M286" t="s">
        <v>1908</v>
      </c>
      <c r="Z286" t="s">
        <v>2166</v>
      </c>
      <c r="AA286" t="s">
        <v>2168</v>
      </c>
      <c r="AB286" t="s">
        <v>2168</v>
      </c>
    </row>
    <row r="287" spans="1:31" x14ac:dyDescent="0.3">
      <c r="A287" s="1">
        <v>542</v>
      </c>
      <c r="C287" t="s">
        <v>488</v>
      </c>
      <c r="D287">
        <v>2019</v>
      </c>
      <c r="E287">
        <v>0</v>
      </c>
      <c r="F287">
        <v>2</v>
      </c>
      <c r="G287" t="s">
        <v>561</v>
      </c>
      <c r="H287" t="s">
        <v>815</v>
      </c>
      <c r="I287" t="s">
        <v>1130</v>
      </c>
      <c r="J287" t="s">
        <v>1375</v>
      </c>
      <c r="K287" t="s">
        <v>1596</v>
      </c>
      <c r="Z287" t="s">
        <v>2167</v>
      </c>
      <c r="AA287" t="s">
        <v>2167</v>
      </c>
    </row>
    <row r="288" spans="1:31" x14ac:dyDescent="0.3">
      <c r="A288" s="1">
        <v>543</v>
      </c>
      <c r="C288" t="s">
        <v>489</v>
      </c>
      <c r="D288">
        <v>2019</v>
      </c>
      <c r="E288">
        <v>0</v>
      </c>
      <c r="F288">
        <v>3</v>
      </c>
      <c r="G288" t="s">
        <v>561</v>
      </c>
      <c r="H288" t="s">
        <v>816</v>
      </c>
      <c r="I288" t="s">
        <v>1131</v>
      </c>
      <c r="J288" t="s">
        <v>1376</v>
      </c>
      <c r="K288" t="s">
        <v>1597</v>
      </c>
      <c r="L288" t="s">
        <v>1760</v>
      </c>
      <c r="M288" t="s">
        <v>1909</v>
      </c>
      <c r="Z288" t="s">
        <v>2167</v>
      </c>
      <c r="AA288" t="s">
        <v>2167</v>
      </c>
      <c r="AB288" t="s">
        <v>2167</v>
      </c>
    </row>
    <row r="289" spans="1:32" x14ac:dyDescent="0.3">
      <c r="A289" s="1">
        <v>544</v>
      </c>
      <c r="C289" t="s">
        <v>490</v>
      </c>
      <c r="D289">
        <v>2019</v>
      </c>
      <c r="E289">
        <v>0</v>
      </c>
      <c r="F289">
        <v>2</v>
      </c>
      <c r="G289" t="s">
        <v>561</v>
      </c>
      <c r="H289" t="s">
        <v>817</v>
      </c>
      <c r="I289" t="s">
        <v>1132</v>
      </c>
      <c r="J289" t="s">
        <v>1377</v>
      </c>
      <c r="K289" t="s">
        <v>1598</v>
      </c>
      <c r="Z289" t="s">
        <v>2166</v>
      </c>
      <c r="AA289" t="s">
        <v>2167</v>
      </c>
    </row>
    <row r="290" spans="1:32" x14ac:dyDescent="0.3">
      <c r="A290" s="1">
        <v>545</v>
      </c>
      <c r="C290" t="s">
        <v>491</v>
      </c>
      <c r="D290">
        <v>2019</v>
      </c>
      <c r="E290">
        <v>0</v>
      </c>
      <c r="F290">
        <v>2</v>
      </c>
      <c r="G290" t="s">
        <v>561</v>
      </c>
      <c r="H290" t="s">
        <v>818</v>
      </c>
      <c r="I290" t="s">
        <v>1133</v>
      </c>
      <c r="J290" t="s">
        <v>1378</v>
      </c>
      <c r="K290" t="s">
        <v>1599</v>
      </c>
      <c r="Z290" t="s">
        <v>2167</v>
      </c>
      <c r="AA290" t="s">
        <v>2167</v>
      </c>
    </row>
    <row r="291" spans="1:32" x14ac:dyDescent="0.3">
      <c r="A291" s="1">
        <v>546</v>
      </c>
      <c r="C291" t="s">
        <v>492</v>
      </c>
      <c r="D291">
        <v>2019</v>
      </c>
      <c r="E291">
        <v>0</v>
      </c>
      <c r="F291">
        <v>3</v>
      </c>
      <c r="G291" t="s">
        <v>561</v>
      </c>
      <c r="H291" t="s">
        <v>819</v>
      </c>
      <c r="I291" t="s">
        <v>1024</v>
      </c>
      <c r="J291" t="s">
        <v>1379</v>
      </c>
      <c r="K291" t="s">
        <v>1600</v>
      </c>
      <c r="L291" t="s">
        <v>1761</v>
      </c>
      <c r="M291" t="s">
        <v>1587</v>
      </c>
      <c r="Z291" t="s">
        <v>2168</v>
      </c>
      <c r="AA291" t="s">
        <v>2166</v>
      </c>
      <c r="AB291" t="s">
        <v>2167</v>
      </c>
    </row>
    <row r="292" spans="1:32" x14ac:dyDescent="0.3">
      <c r="A292" s="1">
        <v>547</v>
      </c>
      <c r="C292" t="s">
        <v>493</v>
      </c>
      <c r="D292">
        <v>2020</v>
      </c>
      <c r="E292">
        <v>0</v>
      </c>
      <c r="F292">
        <v>4</v>
      </c>
      <c r="G292" t="s">
        <v>561</v>
      </c>
      <c r="H292" t="s">
        <v>820</v>
      </c>
      <c r="I292" t="s">
        <v>1134</v>
      </c>
      <c r="J292" t="s">
        <v>1380</v>
      </c>
      <c r="K292" t="s">
        <v>1601</v>
      </c>
      <c r="L292" t="s">
        <v>1762</v>
      </c>
      <c r="M292" t="s">
        <v>1910</v>
      </c>
      <c r="N292" t="s">
        <v>1984</v>
      </c>
      <c r="O292" t="s">
        <v>2042</v>
      </c>
      <c r="Z292" t="s">
        <v>2167</v>
      </c>
      <c r="AA292" t="s">
        <v>2167</v>
      </c>
      <c r="AB292" t="s">
        <v>2167</v>
      </c>
      <c r="AC292" t="s">
        <v>2167</v>
      </c>
    </row>
    <row r="293" spans="1:32" x14ac:dyDescent="0.3">
      <c r="A293" s="1">
        <v>548</v>
      </c>
      <c r="C293" t="s">
        <v>494</v>
      </c>
      <c r="D293">
        <v>2020</v>
      </c>
      <c r="E293">
        <v>0</v>
      </c>
      <c r="F293">
        <v>1</v>
      </c>
      <c r="G293" t="s">
        <v>561</v>
      </c>
      <c r="H293" t="s">
        <v>753</v>
      </c>
      <c r="I293" t="s">
        <v>1071</v>
      </c>
      <c r="Z293" t="s">
        <v>2167</v>
      </c>
    </row>
    <row r="294" spans="1:32" x14ac:dyDescent="0.3">
      <c r="A294" s="1">
        <v>549</v>
      </c>
      <c r="C294" t="s">
        <v>495</v>
      </c>
      <c r="D294">
        <v>2020</v>
      </c>
      <c r="E294">
        <v>0</v>
      </c>
      <c r="F294">
        <v>1</v>
      </c>
      <c r="G294" t="s">
        <v>561</v>
      </c>
      <c r="H294" t="s">
        <v>821</v>
      </c>
      <c r="I294" t="s">
        <v>1135</v>
      </c>
      <c r="Z294" t="s">
        <v>2167</v>
      </c>
    </row>
    <row r="295" spans="1:32" x14ac:dyDescent="0.3">
      <c r="A295" s="1">
        <v>550</v>
      </c>
      <c r="C295" t="s">
        <v>496</v>
      </c>
      <c r="D295">
        <v>2020</v>
      </c>
      <c r="E295">
        <v>0</v>
      </c>
      <c r="F295">
        <v>1</v>
      </c>
      <c r="G295" t="s">
        <v>561</v>
      </c>
      <c r="H295" t="s">
        <v>822</v>
      </c>
      <c r="I295" t="s">
        <v>1136</v>
      </c>
      <c r="Z295" t="s">
        <v>2168</v>
      </c>
    </row>
    <row r="296" spans="1:32" x14ac:dyDescent="0.3">
      <c r="A296" s="1">
        <v>551</v>
      </c>
      <c r="C296" t="s">
        <v>497</v>
      </c>
      <c r="D296">
        <v>2020</v>
      </c>
      <c r="E296">
        <v>0</v>
      </c>
      <c r="F296">
        <v>1</v>
      </c>
      <c r="G296" t="s">
        <v>561</v>
      </c>
      <c r="H296" t="s">
        <v>823</v>
      </c>
      <c r="I296" t="s">
        <v>1137</v>
      </c>
      <c r="Z296" t="s">
        <v>2166</v>
      </c>
    </row>
    <row r="297" spans="1:32" x14ac:dyDescent="0.3">
      <c r="A297" s="1">
        <v>552</v>
      </c>
      <c r="C297" t="s">
        <v>498</v>
      </c>
      <c r="D297">
        <v>2020</v>
      </c>
      <c r="E297">
        <v>0</v>
      </c>
      <c r="F297">
        <v>2</v>
      </c>
      <c r="G297" t="s">
        <v>561</v>
      </c>
      <c r="H297" t="s">
        <v>824</v>
      </c>
      <c r="I297" t="s">
        <v>1138</v>
      </c>
      <c r="J297" t="s">
        <v>1381</v>
      </c>
      <c r="K297" t="s">
        <v>1602</v>
      </c>
      <c r="Z297" t="s">
        <v>2168</v>
      </c>
      <c r="AA297" t="s">
        <v>2167</v>
      </c>
    </row>
    <row r="298" spans="1:32" x14ac:dyDescent="0.3">
      <c r="A298" s="1">
        <v>553</v>
      </c>
      <c r="B298" s="2" t="s">
        <v>195</v>
      </c>
      <c r="C298" t="s">
        <v>499</v>
      </c>
      <c r="D298">
        <v>2020</v>
      </c>
      <c r="E298">
        <v>0</v>
      </c>
      <c r="F298">
        <v>1</v>
      </c>
      <c r="G298" t="s">
        <v>561</v>
      </c>
      <c r="H298" t="s">
        <v>825</v>
      </c>
      <c r="I298" t="s">
        <v>1139</v>
      </c>
      <c r="Z298" t="s">
        <v>2166</v>
      </c>
    </row>
    <row r="299" spans="1:32" x14ac:dyDescent="0.3">
      <c r="A299" s="1">
        <v>554</v>
      </c>
      <c r="C299" t="s">
        <v>500</v>
      </c>
      <c r="D299">
        <v>2020</v>
      </c>
      <c r="E299">
        <v>0</v>
      </c>
      <c r="F299">
        <v>7</v>
      </c>
      <c r="G299" t="s">
        <v>561</v>
      </c>
      <c r="H299" t="s">
        <v>826</v>
      </c>
      <c r="I299" t="s">
        <v>1140</v>
      </c>
      <c r="J299" t="s">
        <v>1382</v>
      </c>
      <c r="K299" t="s">
        <v>1603</v>
      </c>
      <c r="L299" t="s">
        <v>1763</v>
      </c>
      <c r="M299" t="s">
        <v>1583</v>
      </c>
      <c r="N299" t="s">
        <v>846</v>
      </c>
      <c r="O299" t="s">
        <v>1158</v>
      </c>
      <c r="P299" t="s">
        <v>2075</v>
      </c>
      <c r="Q299" t="s">
        <v>2099</v>
      </c>
      <c r="R299" t="s">
        <v>2117</v>
      </c>
      <c r="S299" t="s">
        <v>2131</v>
      </c>
      <c r="T299" t="s">
        <v>1418</v>
      </c>
      <c r="U299" t="s">
        <v>1635</v>
      </c>
      <c r="Z299" t="s">
        <v>2167</v>
      </c>
      <c r="AA299" t="s">
        <v>2167</v>
      </c>
      <c r="AB299" t="s">
        <v>2167</v>
      </c>
      <c r="AC299" t="s">
        <v>2167</v>
      </c>
      <c r="AD299" t="s">
        <v>2167</v>
      </c>
      <c r="AE299" t="s">
        <v>2167</v>
      </c>
      <c r="AF299" t="s">
        <v>2167</v>
      </c>
    </row>
    <row r="300" spans="1:32" x14ac:dyDescent="0.3">
      <c r="A300" s="1">
        <v>555</v>
      </c>
      <c r="C300" t="s">
        <v>501</v>
      </c>
      <c r="D300">
        <v>2020</v>
      </c>
      <c r="E300">
        <v>0</v>
      </c>
      <c r="F300">
        <v>3</v>
      </c>
      <c r="G300" t="s">
        <v>561</v>
      </c>
      <c r="H300" t="s">
        <v>827</v>
      </c>
      <c r="I300" t="s">
        <v>1141</v>
      </c>
      <c r="J300" t="s">
        <v>1383</v>
      </c>
      <c r="K300" t="s">
        <v>1604</v>
      </c>
      <c r="L300" t="s">
        <v>1764</v>
      </c>
      <c r="M300" t="s">
        <v>1911</v>
      </c>
      <c r="Z300" t="s">
        <v>2168</v>
      </c>
      <c r="AA300" t="s">
        <v>2166</v>
      </c>
      <c r="AB300" t="s">
        <v>2167</v>
      </c>
    </row>
    <row r="301" spans="1:32" x14ac:dyDescent="0.3">
      <c r="A301" s="1">
        <v>556</v>
      </c>
      <c r="C301" t="s">
        <v>502</v>
      </c>
      <c r="D301">
        <v>2020</v>
      </c>
      <c r="E301">
        <v>0</v>
      </c>
      <c r="F301">
        <v>4</v>
      </c>
      <c r="G301" t="s">
        <v>561</v>
      </c>
      <c r="H301" t="s">
        <v>828</v>
      </c>
      <c r="I301" t="s">
        <v>1037</v>
      </c>
      <c r="J301" t="s">
        <v>1384</v>
      </c>
      <c r="K301" t="s">
        <v>1605</v>
      </c>
      <c r="L301" t="s">
        <v>1765</v>
      </c>
      <c r="M301" t="s">
        <v>1912</v>
      </c>
      <c r="N301" t="s">
        <v>1314</v>
      </c>
      <c r="O301" t="s">
        <v>1532</v>
      </c>
      <c r="Z301" t="s">
        <v>2166</v>
      </c>
      <c r="AA301" t="s">
        <v>2166</v>
      </c>
      <c r="AB301" t="s">
        <v>2168</v>
      </c>
      <c r="AC301" t="s">
        <v>2168</v>
      </c>
    </row>
    <row r="302" spans="1:32" x14ac:dyDescent="0.3">
      <c r="A302" s="1">
        <v>557</v>
      </c>
      <c r="C302" t="s">
        <v>503</v>
      </c>
      <c r="D302">
        <v>2020</v>
      </c>
      <c r="E302">
        <v>0</v>
      </c>
      <c r="F302">
        <v>3</v>
      </c>
      <c r="G302" t="s">
        <v>561</v>
      </c>
      <c r="H302" t="s">
        <v>829</v>
      </c>
      <c r="I302" t="s">
        <v>1142</v>
      </c>
      <c r="J302" t="s">
        <v>1385</v>
      </c>
      <c r="K302" t="s">
        <v>1606</v>
      </c>
      <c r="L302" t="s">
        <v>1766</v>
      </c>
      <c r="M302" t="s">
        <v>1913</v>
      </c>
      <c r="Z302" t="s">
        <v>2167</v>
      </c>
      <c r="AA302" t="s">
        <v>2167</v>
      </c>
      <c r="AB302" t="s">
        <v>2167</v>
      </c>
    </row>
    <row r="303" spans="1:32" x14ac:dyDescent="0.3">
      <c r="A303" s="1">
        <v>558</v>
      </c>
      <c r="C303" t="s">
        <v>504</v>
      </c>
      <c r="D303">
        <v>2020</v>
      </c>
      <c r="E303">
        <v>0</v>
      </c>
      <c r="F303">
        <v>3</v>
      </c>
      <c r="G303" t="s">
        <v>561</v>
      </c>
      <c r="H303" t="s">
        <v>830</v>
      </c>
      <c r="I303" t="s">
        <v>1143</v>
      </c>
      <c r="J303" t="s">
        <v>1386</v>
      </c>
      <c r="K303" t="s">
        <v>1607</v>
      </c>
      <c r="L303" t="s">
        <v>1767</v>
      </c>
      <c r="M303" t="s">
        <v>1914</v>
      </c>
      <c r="Z303" t="s">
        <v>2168</v>
      </c>
      <c r="AA303" t="s">
        <v>2166</v>
      </c>
      <c r="AB303" t="s">
        <v>2166</v>
      </c>
    </row>
    <row r="304" spans="1:32" x14ac:dyDescent="0.3">
      <c r="A304" s="1">
        <v>559</v>
      </c>
      <c r="C304" t="s">
        <v>505</v>
      </c>
      <c r="D304">
        <v>2020</v>
      </c>
      <c r="E304">
        <v>0</v>
      </c>
      <c r="F304">
        <v>3</v>
      </c>
      <c r="G304" t="s">
        <v>561</v>
      </c>
      <c r="H304" t="s">
        <v>831</v>
      </c>
      <c r="I304" t="s">
        <v>1141</v>
      </c>
      <c r="J304" t="s">
        <v>1387</v>
      </c>
      <c r="K304" t="s">
        <v>1604</v>
      </c>
      <c r="L304" t="s">
        <v>1768</v>
      </c>
      <c r="M304" t="s">
        <v>1911</v>
      </c>
      <c r="Z304" t="s">
        <v>2168</v>
      </c>
      <c r="AA304" t="s">
        <v>2166</v>
      </c>
      <c r="AB304" t="s">
        <v>2167</v>
      </c>
    </row>
    <row r="305" spans="1:29" x14ac:dyDescent="0.3">
      <c r="A305" s="1">
        <v>560</v>
      </c>
      <c r="C305" t="s">
        <v>506</v>
      </c>
      <c r="D305">
        <v>2020</v>
      </c>
      <c r="E305">
        <v>0</v>
      </c>
      <c r="F305">
        <v>1</v>
      </c>
      <c r="G305" t="s">
        <v>561</v>
      </c>
      <c r="H305" t="s">
        <v>832</v>
      </c>
      <c r="I305" t="s">
        <v>1144</v>
      </c>
      <c r="Z305" t="s">
        <v>2167</v>
      </c>
    </row>
    <row r="306" spans="1:29" x14ac:dyDescent="0.3">
      <c r="A306" s="1">
        <v>561</v>
      </c>
      <c r="C306" t="s">
        <v>507</v>
      </c>
      <c r="D306">
        <v>2020</v>
      </c>
      <c r="E306">
        <v>0</v>
      </c>
      <c r="F306">
        <v>4</v>
      </c>
      <c r="G306" t="s">
        <v>561</v>
      </c>
      <c r="H306" t="s">
        <v>833</v>
      </c>
      <c r="I306" t="s">
        <v>1145</v>
      </c>
      <c r="J306" t="s">
        <v>1388</v>
      </c>
      <c r="K306" t="s">
        <v>1608</v>
      </c>
      <c r="L306" t="s">
        <v>1769</v>
      </c>
      <c r="M306" t="s">
        <v>1915</v>
      </c>
      <c r="N306" t="s">
        <v>1777</v>
      </c>
      <c r="O306" t="s">
        <v>1923</v>
      </c>
      <c r="Z306" t="s">
        <v>2168</v>
      </c>
      <c r="AA306" t="s">
        <v>2167</v>
      </c>
      <c r="AB306" t="s">
        <v>2168</v>
      </c>
      <c r="AC306" t="s">
        <v>2168</v>
      </c>
    </row>
    <row r="307" spans="1:29" x14ac:dyDescent="0.3">
      <c r="A307" s="1">
        <v>562</v>
      </c>
      <c r="C307" t="s">
        <v>508</v>
      </c>
      <c r="D307">
        <v>2020</v>
      </c>
      <c r="E307">
        <v>0</v>
      </c>
      <c r="F307">
        <v>4</v>
      </c>
      <c r="G307" t="s">
        <v>561</v>
      </c>
      <c r="H307" t="s">
        <v>834</v>
      </c>
      <c r="I307" t="s">
        <v>1146</v>
      </c>
      <c r="J307" t="s">
        <v>1389</v>
      </c>
      <c r="K307" t="s">
        <v>1609</v>
      </c>
      <c r="L307" t="s">
        <v>1770</v>
      </c>
      <c r="M307" t="s">
        <v>1916</v>
      </c>
      <c r="N307" t="s">
        <v>1985</v>
      </c>
      <c r="O307" t="s">
        <v>2043</v>
      </c>
      <c r="Z307" t="s">
        <v>2168</v>
      </c>
      <c r="AA307" t="s">
        <v>2168</v>
      </c>
      <c r="AB307" t="s">
        <v>2168</v>
      </c>
      <c r="AC307" t="s">
        <v>2168</v>
      </c>
    </row>
    <row r="308" spans="1:29" x14ac:dyDescent="0.3">
      <c r="A308" s="1">
        <v>563</v>
      </c>
      <c r="C308" t="s">
        <v>509</v>
      </c>
      <c r="D308">
        <v>2020</v>
      </c>
      <c r="E308">
        <v>0</v>
      </c>
      <c r="F308">
        <v>1</v>
      </c>
      <c r="G308" t="s">
        <v>561</v>
      </c>
      <c r="H308" t="s">
        <v>835</v>
      </c>
      <c r="I308" t="s">
        <v>1147</v>
      </c>
      <c r="Z308" t="s">
        <v>2167</v>
      </c>
    </row>
    <row r="309" spans="1:29" x14ac:dyDescent="0.3">
      <c r="A309" s="1">
        <v>564</v>
      </c>
      <c r="C309" t="s">
        <v>510</v>
      </c>
      <c r="D309">
        <v>2020</v>
      </c>
      <c r="E309">
        <v>0</v>
      </c>
      <c r="F309">
        <v>3</v>
      </c>
      <c r="G309" t="s">
        <v>561</v>
      </c>
      <c r="H309" t="s">
        <v>836</v>
      </c>
      <c r="I309" t="s">
        <v>1148</v>
      </c>
      <c r="J309" t="s">
        <v>1390</v>
      </c>
      <c r="K309" t="s">
        <v>1610</v>
      </c>
      <c r="L309" t="s">
        <v>1771</v>
      </c>
      <c r="M309" t="s">
        <v>1917</v>
      </c>
      <c r="Z309" t="s">
        <v>2167</v>
      </c>
      <c r="AA309" t="s">
        <v>2167</v>
      </c>
      <c r="AB309" t="s">
        <v>2167</v>
      </c>
    </row>
    <row r="310" spans="1:29" x14ac:dyDescent="0.3">
      <c r="A310" s="1">
        <v>565</v>
      </c>
      <c r="C310" t="s">
        <v>511</v>
      </c>
      <c r="D310">
        <v>2020</v>
      </c>
      <c r="E310">
        <v>0</v>
      </c>
      <c r="F310">
        <v>1</v>
      </c>
      <c r="G310" t="s">
        <v>561</v>
      </c>
      <c r="H310" t="s">
        <v>837</v>
      </c>
      <c r="I310" t="s">
        <v>1149</v>
      </c>
      <c r="Z310" t="s">
        <v>2167</v>
      </c>
    </row>
    <row r="311" spans="1:29" x14ac:dyDescent="0.3">
      <c r="A311" s="1">
        <v>566</v>
      </c>
      <c r="C311" t="s">
        <v>512</v>
      </c>
      <c r="D311">
        <v>2020</v>
      </c>
      <c r="E311">
        <v>0</v>
      </c>
      <c r="F311">
        <v>1</v>
      </c>
      <c r="G311" t="s">
        <v>561</v>
      </c>
      <c r="H311" t="s">
        <v>838</v>
      </c>
      <c r="I311" t="s">
        <v>1150</v>
      </c>
      <c r="Z311" t="s">
        <v>2167</v>
      </c>
    </row>
    <row r="312" spans="1:29" x14ac:dyDescent="0.3">
      <c r="A312" s="1">
        <v>567</v>
      </c>
      <c r="C312" t="s">
        <v>513</v>
      </c>
      <c r="D312">
        <v>2020</v>
      </c>
      <c r="E312">
        <v>0</v>
      </c>
      <c r="F312">
        <v>3</v>
      </c>
      <c r="G312" t="s">
        <v>561</v>
      </c>
      <c r="H312" t="s">
        <v>839</v>
      </c>
      <c r="I312" t="s">
        <v>1151</v>
      </c>
      <c r="J312" t="s">
        <v>1391</v>
      </c>
      <c r="K312" t="s">
        <v>1611</v>
      </c>
      <c r="L312" t="s">
        <v>1772</v>
      </c>
      <c r="M312" t="s">
        <v>1918</v>
      </c>
      <c r="Z312" t="s">
        <v>2167</v>
      </c>
      <c r="AA312" t="s">
        <v>2167</v>
      </c>
      <c r="AB312" t="s">
        <v>2167</v>
      </c>
    </row>
    <row r="313" spans="1:29" x14ac:dyDescent="0.3">
      <c r="A313" s="1">
        <v>568</v>
      </c>
      <c r="B313" s="2" t="s">
        <v>196</v>
      </c>
      <c r="C313" t="s">
        <v>514</v>
      </c>
      <c r="D313">
        <v>2020</v>
      </c>
      <c r="E313">
        <v>0</v>
      </c>
      <c r="F313">
        <v>4</v>
      </c>
      <c r="G313" t="s">
        <v>561</v>
      </c>
      <c r="H313" t="s">
        <v>840</v>
      </c>
      <c r="I313" t="s">
        <v>1152</v>
      </c>
      <c r="J313" t="s">
        <v>1392</v>
      </c>
      <c r="K313" t="s">
        <v>1612</v>
      </c>
      <c r="L313" t="s">
        <v>678</v>
      </c>
      <c r="M313" t="s">
        <v>1000</v>
      </c>
      <c r="N313" t="s">
        <v>570</v>
      </c>
      <c r="O313" t="s">
        <v>892</v>
      </c>
      <c r="Z313" t="s">
        <v>2167</v>
      </c>
      <c r="AA313" t="s">
        <v>2166</v>
      </c>
      <c r="AB313" t="s">
        <v>2167</v>
      </c>
      <c r="AC313" t="s">
        <v>2168</v>
      </c>
    </row>
    <row r="314" spans="1:29" x14ac:dyDescent="0.3">
      <c r="A314" s="1">
        <v>569</v>
      </c>
      <c r="C314" t="s">
        <v>515</v>
      </c>
      <c r="D314">
        <v>2020</v>
      </c>
      <c r="E314">
        <v>0</v>
      </c>
      <c r="F314">
        <v>1</v>
      </c>
      <c r="G314" t="s">
        <v>561</v>
      </c>
      <c r="H314" t="s">
        <v>841</v>
      </c>
      <c r="I314" t="s">
        <v>1153</v>
      </c>
      <c r="Z314" t="s">
        <v>2167</v>
      </c>
    </row>
    <row r="315" spans="1:29" x14ac:dyDescent="0.3">
      <c r="A315" s="1">
        <v>570</v>
      </c>
      <c r="C315" t="s">
        <v>516</v>
      </c>
      <c r="D315">
        <v>2020</v>
      </c>
      <c r="E315">
        <v>0</v>
      </c>
      <c r="F315">
        <v>4</v>
      </c>
      <c r="G315" t="s">
        <v>561</v>
      </c>
      <c r="H315" t="s">
        <v>842</v>
      </c>
      <c r="I315" t="s">
        <v>1154</v>
      </c>
      <c r="J315" t="s">
        <v>1393</v>
      </c>
      <c r="K315" t="s">
        <v>1613</v>
      </c>
      <c r="L315" t="s">
        <v>1773</v>
      </c>
      <c r="M315" t="s">
        <v>1919</v>
      </c>
      <c r="N315" t="s">
        <v>841</v>
      </c>
      <c r="O315" t="s">
        <v>1153</v>
      </c>
      <c r="Z315" t="s">
        <v>2167</v>
      </c>
      <c r="AA315" t="s">
        <v>2167</v>
      </c>
      <c r="AB315" t="s">
        <v>2167</v>
      </c>
      <c r="AC315" t="s">
        <v>2167</v>
      </c>
    </row>
    <row r="316" spans="1:29" x14ac:dyDescent="0.3">
      <c r="A316" s="1">
        <v>571</v>
      </c>
      <c r="C316" t="s">
        <v>517</v>
      </c>
      <c r="D316">
        <v>2020</v>
      </c>
      <c r="E316">
        <v>0</v>
      </c>
      <c r="F316">
        <v>2</v>
      </c>
      <c r="G316" t="s">
        <v>561</v>
      </c>
      <c r="H316" t="s">
        <v>843</v>
      </c>
      <c r="I316" t="s">
        <v>1155</v>
      </c>
      <c r="J316" t="s">
        <v>1394</v>
      </c>
      <c r="K316" t="s">
        <v>1042</v>
      </c>
      <c r="Z316" t="s">
        <v>2167</v>
      </c>
      <c r="AA316" t="s">
        <v>2167</v>
      </c>
    </row>
    <row r="317" spans="1:29" x14ac:dyDescent="0.3">
      <c r="A317" s="1">
        <v>572</v>
      </c>
      <c r="B317" s="2" t="s">
        <v>197</v>
      </c>
      <c r="C317" t="s">
        <v>518</v>
      </c>
      <c r="D317">
        <v>2020</v>
      </c>
      <c r="E317">
        <v>0</v>
      </c>
      <c r="F317">
        <v>1</v>
      </c>
      <c r="G317" t="s">
        <v>561</v>
      </c>
      <c r="H317" t="s">
        <v>844</v>
      </c>
      <c r="I317" t="s">
        <v>1156</v>
      </c>
      <c r="Z317" t="s">
        <v>2168</v>
      </c>
    </row>
    <row r="318" spans="1:29" x14ac:dyDescent="0.3">
      <c r="A318" s="1">
        <v>573</v>
      </c>
      <c r="C318" t="s">
        <v>519</v>
      </c>
      <c r="D318">
        <v>2020</v>
      </c>
      <c r="E318">
        <v>0</v>
      </c>
      <c r="F318">
        <v>1</v>
      </c>
      <c r="G318" t="s">
        <v>561</v>
      </c>
      <c r="H318" t="s">
        <v>845</v>
      </c>
      <c r="I318" t="s">
        <v>1157</v>
      </c>
      <c r="Z318" t="s">
        <v>2166</v>
      </c>
    </row>
    <row r="319" spans="1:29" x14ac:dyDescent="0.3">
      <c r="A319" s="1">
        <v>574</v>
      </c>
      <c r="C319" t="s">
        <v>520</v>
      </c>
      <c r="D319">
        <v>2020</v>
      </c>
      <c r="E319">
        <v>0</v>
      </c>
      <c r="F319">
        <v>1</v>
      </c>
      <c r="G319" t="s">
        <v>561</v>
      </c>
      <c r="H319" t="s">
        <v>846</v>
      </c>
      <c r="I319" t="s">
        <v>1158</v>
      </c>
      <c r="Z319" t="s">
        <v>2167</v>
      </c>
    </row>
    <row r="320" spans="1:29" x14ac:dyDescent="0.3">
      <c r="A320" s="1">
        <v>575</v>
      </c>
      <c r="C320" t="s">
        <v>521</v>
      </c>
      <c r="D320">
        <v>2020</v>
      </c>
      <c r="E320">
        <v>0</v>
      </c>
      <c r="F320">
        <v>2</v>
      </c>
      <c r="G320" t="s">
        <v>561</v>
      </c>
      <c r="H320" t="s">
        <v>847</v>
      </c>
      <c r="I320" t="s">
        <v>1159</v>
      </c>
      <c r="J320" t="s">
        <v>1395</v>
      </c>
      <c r="K320" t="s">
        <v>1614</v>
      </c>
      <c r="Z320" t="s">
        <v>2166</v>
      </c>
      <c r="AA320" t="s">
        <v>2167</v>
      </c>
    </row>
    <row r="321" spans="1:34" x14ac:dyDescent="0.3">
      <c r="A321" s="1">
        <v>576</v>
      </c>
      <c r="C321" t="s">
        <v>522</v>
      </c>
      <c r="D321">
        <v>2020</v>
      </c>
      <c r="E321">
        <v>0</v>
      </c>
      <c r="F321">
        <v>2</v>
      </c>
      <c r="G321" t="s">
        <v>561</v>
      </c>
      <c r="H321" t="s">
        <v>848</v>
      </c>
      <c r="I321" t="s">
        <v>1160</v>
      </c>
      <c r="J321" t="s">
        <v>1396</v>
      </c>
      <c r="K321" t="s">
        <v>1615</v>
      </c>
      <c r="Z321" t="s">
        <v>2166</v>
      </c>
      <c r="AA321" t="s">
        <v>2168</v>
      </c>
    </row>
    <row r="322" spans="1:34" x14ac:dyDescent="0.3">
      <c r="A322" s="1">
        <v>577</v>
      </c>
      <c r="C322" t="s">
        <v>523</v>
      </c>
      <c r="D322">
        <v>2020</v>
      </c>
      <c r="E322">
        <v>0</v>
      </c>
      <c r="F322">
        <v>1</v>
      </c>
      <c r="G322" t="s">
        <v>561</v>
      </c>
      <c r="H322" t="s">
        <v>845</v>
      </c>
      <c r="I322" t="s">
        <v>1157</v>
      </c>
      <c r="Z322" t="s">
        <v>2166</v>
      </c>
    </row>
    <row r="323" spans="1:34" x14ac:dyDescent="0.3">
      <c r="A323" s="1">
        <v>578</v>
      </c>
      <c r="C323" t="s">
        <v>524</v>
      </c>
      <c r="D323">
        <v>2020</v>
      </c>
      <c r="E323">
        <v>0</v>
      </c>
      <c r="F323">
        <v>1</v>
      </c>
      <c r="G323" t="s">
        <v>561</v>
      </c>
      <c r="H323" t="s">
        <v>770</v>
      </c>
      <c r="I323" t="s">
        <v>1088</v>
      </c>
      <c r="Z323" t="s">
        <v>2168</v>
      </c>
    </row>
    <row r="324" spans="1:34" x14ac:dyDescent="0.3">
      <c r="A324" s="1">
        <v>579</v>
      </c>
      <c r="C324" t="s">
        <v>525</v>
      </c>
      <c r="D324">
        <v>2020</v>
      </c>
      <c r="E324">
        <v>0</v>
      </c>
      <c r="F324">
        <v>3</v>
      </c>
      <c r="G324" t="s">
        <v>561</v>
      </c>
      <c r="H324" t="s">
        <v>849</v>
      </c>
      <c r="I324" t="s">
        <v>1161</v>
      </c>
      <c r="J324" t="s">
        <v>1397</v>
      </c>
      <c r="K324" t="s">
        <v>1616</v>
      </c>
      <c r="L324" t="s">
        <v>1774</v>
      </c>
      <c r="M324" t="s">
        <v>1920</v>
      </c>
      <c r="Z324" t="s">
        <v>2167</v>
      </c>
      <c r="AA324" t="s">
        <v>2167</v>
      </c>
      <c r="AB324" t="s">
        <v>2167</v>
      </c>
    </row>
    <row r="325" spans="1:34" x14ac:dyDescent="0.3">
      <c r="A325" s="1">
        <v>580</v>
      </c>
      <c r="C325" t="s">
        <v>526</v>
      </c>
      <c r="D325">
        <v>2020</v>
      </c>
      <c r="E325">
        <v>0</v>
      </c>
      <c r="F325">
        <v>1</v>
      </c>
      <c r="G325" t="s">
        <v>561</v>
      </c>
      <c r="H325" t="s">
        <v>850</v>
      </c>
      <c r="I325" t="s">
        <v>1162</v>
      </c>
      <c r="Z325" t="s">
        <v>2167</v>
      </c>
    </row>
    <row r="326" spans="1:34" x14ac:dyDescent="0.3">
      <c r="A326" s="1">
        <v>581</v>
      </c>
      <c r="C326" t="s">
        <v>527</v>
      </c>
      <c r="D326">
        <v>2021</v>
      </c>
      <c r="E326">
        <v>0</v>
      </c>
      <c r="F326">
        <v>9</v>
      </c>
      <c r="G326" t="s">
        <v>561</v>
      </c>
      <c r="H326" t="s">
        <v>851</v>
      </c>
      <c r="I326" t="s">
        <v>1163</v>
      </c>
      <c r="J326" t="s">
        <v>1398</v>
      </c>
      <c r="K326" t="s">
        <v>1617</v>
      </c>
      <c r="L326" t="s">
        <v>1775</v>
      </c>
      <c r="M326" t="s">
        <v>1921</v>
      </c>
      <c r="N326" t="s">
        <v>1986</v>
      </c>
      <c r="O326" t="s">
        <v>2044</v>
      </c>
      <c r="P326" t="s">
        <v>2076</v>
      </c>
      <c r="Q326" t="s">
        <v>2100</v>
      </c>
      <c r="R326" t="s">
        <v>2118</v>
      </c>
      <c r="S326" t="s">
        <v>2132</v>
      </c>
      <c r="T326" t="s">
        <v>2141</v>
      </c>
      <c r="U326" t="s">
        <v>2148</v>
      </c>
      <c r="V326" t="s">
        <v>2153</v>
      </c>
      <c r="W326" t="s">
        <v>2157</v>
      </c>
      <c r="X326" t="s">
        <v>2161</v>
      </c>
      <c r="Y326" t="s">
        <v>2165</v>
      </c>
      <c r="Z326" t="s">
        <v>2168</v>
      </c>
      <c r="AA326" t="s">
        <v>2167</v>
      </c>
      <c r="AB326" t="s">
        <v>2167</v>
      </c>
      <c r="AC326" t="s">
        <v>2167</v>
      </c>
      <c r="AD326" t="s">
        <v>2167</v>
      </c>
      <c r="AE326" t="s">
        <v>2167</v>
      </c>
      <c r="AF326" t="s">
        <v>2167</v>
      </c>
      <c r="AG326" t="s">
        <v>2166</v>
      </c>
      <c r="AH326" t="s">
        <v>2167</v>
      </c>
    </row>
    <row r="327" spans="1:34" x14ac:dyDescent="0.3">
      <c r="A327" s="1">
        <v>582</v>
      </c>
      <c r="C327" t="s">
        <v>528</v>
      </c>
      <c r="D327">
        <v>2020</v>
      </c>
      <c r="E327">
        <v>0</v>
      </c>
      <c r="F327">
        <v>2</v>
      </c>
      <c r="G327" t="s">
        <v>561</v>
      </c>
      <c r="H327" t="s">
        <v>852</v>
      </c>
      <c r="I327" t="s">
        <v>1164</v>
      </c>
      <c r="J327" t="s">
        <v>1399</v>
      </c>
      <c r="K327" t="s">
        <v>1618</v>
      </c>
      <c r="Z327" t="s">
        <v>2168</v>
      </c>
      <c r="AA327" t="s">
        <v>2168</v>
      </c>
    </row>
    <row r="328" spans="1:34" x14ac:dyDescent="0.3">
      <c r="A328" s="1">
        <v>584</v>
      </c>
      <c r="C328" t="s">
        <v>529</v>
      </c>
      <c r="D328">
        <v>2020</v>
      </c>
      <c r="E328">
        <v>0</v>
      </c>
      <c r="F328">
        <v>1</v>
      </c>
      <c r="G328" t="s">
        <v>561</v>
      </c>
      <c r="H328" t="s">
        <v>853</v>
      </c>
      <c r="I328" t="s">
        <v>1165</v>
      </c>
      <c r="Z328" t="s">
        <v>2167</v>
      </c>
    </row>
    <row r="329" spans="1:34" x14ac:dyDescent="0.3">
      <c r="A329" s="1">
        <v>585</v>
      </c>
      <c r="C329" t="s">
        <v>530</v>
      </c>
      <c r="D329">
        <v>2020</v>
      </c>
      <c r="E329">
        <v>0</v>
      </c>
      <c r="F329">
        <v>7</v>
      </c>
      <c r="G329" t="s">
        <v>561</v>
      </c>
      <c r="H329" t="s">
        <v>854</v>
      </c>
      <c r="I329" t="s">
        <v>1166</v>
      </c>
      <c r="J329" t="s">
        <v>1400</v>
      </c>
      <c r="K329" t="s">
        <v>1619</v>
      </c>
      <c r="L329" t="s">
        <v>1776</v>
      </c>
      <c r="M329" t="s">
        <v>1922</v>
      </c>
      <c r="N329" t="s">
        <v>1987</v>
      </c>
      <c r="O329" t="s">
        <v>2045</v>
      </c>
      <c r="P329" t="s">
        <v>2077</v>
      </c>
      <c r="Q329" t="s">
        <v>2101</v>
      </c>
      <c r="R329" t="s">
        <v>2119</v>
      </c>
      <c r="S329" t="s">
        <v>2133</v>
      </c>
      <c r="T329" t="s">
        <v>2142</v>
      </c>
      <c r="U329" t="s">
        <v>2149</v>
      </c>
      <c r="Z329" t="s">
        <v>2166</v>
      </c>
      <c r="AA329" t="s">
        <v>2166</v>
      </c>
      <c r="AB329" t="s">
        <v>2167</v>
      </c>
      <c r="AC329" t="s">
        <v>2167</v>
      </c>
      <c r="AD329" t="s">
        <v>2167</v>
      </c>
      <c r="AE329" t="s">
        <v>2167</v>
      </c>
      <c r="AF329" t="s">
        <v>2166</v>
      </c>
    </row>
    <row r="330" spans="1:34" x14ac:dyDescent="0.3">
      <c r="A330" s="1">
        <v>588</v>
      </c>
      <c r="B330" s="2" t="s">
        <v>198</v>
      </c>
      <c r="C330" t="s">
        <v>531</v>
      </c>
      <c r="D330">
        <v>2021</v>
      </c>
      <c r="E330">
        <v>0</v>
      </c>
      <c r="F330">
        <v>2</v>
      </c>
      <c r="G330" t="s">
        <v>561</v>
      </c>
      <c r="H330" t="s">
        <v>855</v>
      </c>
      <c r="I330" t="s">
        <v>1167</v>
      </c>
      <c r="J330" t="s">
        <v>1401</v>
      </c>
      <c r="K330" t="s">
        <v>1620</v>
      </c>
      <c r="Z330" t="s">
        <v>2166</v>
      </c>
      <c r="AA330" t="s">
        <v>2168</v>
      </c>
    </row>
    <row r="331" spans="1:34" x14ac:dyDescent="0.3">
      <c r="A331" s="1">
        <v>589</v>
      </c>
      <c r="C331" t="s">
        <v>532</v>
      </c>
      <c r="D331">
        <v>2021</v>
      </c>
      <c r="E331">
        <v>0</v>
      </c>
      <c r="F331">
        <v>2</v>
      </c>
      <c r="G331" t="s">
        <v>561</v>
      </c>
      <c r="H331" t="s">
        <v>856</v>
      </c>
      <c r="I331" t="s">
        <v>1168</v>
      </c>
      <c r="J331" t="s">
        <v>1402</v>
      </c>
      <c r="K331" t="s">
        <v>1621</v>
      </c>
      <c r="Z331" t="s">
        <v>2167</v>
      </c>
      <c r="AA331" t="s">
        <v>2167</v>
      </c>
    </row>
    <row r="332" spans="1:34" x14ac:dyDescent="0.3">
      <c r="A332" s="1">
        <v>590</v>
      </c>
      <c r="C332" t="s">
        <v>533</v>
      </c>
      <c r="D332">
        <v>2021</v>
      </c>
      <c r="E332">
        <v>0</v>
      </c>
      <c r="F332">
        <v>4</v>
      </c>
      <c r="G332" t="s">
        <v>561</v>
      </c>
      <c r="H332" t="s">
        <v>857</v>
      </c>
      <c r="I332" t="s">
        <v>955</v>
      </c>
      <c r="J332" t="s">
        <v>1403</v>
      </c>
      <c r="K332" t="s">
        <v>1622</v>
      </c>
      <c r="L332" t="s">
        <v>1777</v>
      </c>
      <c r="M332" t="s">
        <v>1923</v>
      </c>
      <c r="N332" t="s">
        <v>1769</v>
      </c>
      <c r="O332" t="s">
        <v>1915</v>
      </c>
      <c r="Z332" t="s">
        <v>2166</v>
      </c>
      <c r="AA332" t="s">
        <v>2167</v>
      </c>
      <c r="AB332" t="s">
        <v>2168</v>
      </c>
      <c r="AC332" t="s">
        <v>2168</v>
      </c>
    </row>
    <row r="333" spans="1:34" x14ac:dyDescent="0.3">
      <c r="A333" s="1">
        <v>591</v>
      </c>
      <c r="C333" t="s">
        <v>534</v>
      </c>
      <c r="D333">
        <v>2021</v>
      </c>
      <c r="E333">
        <v>0</v>
      </c>
      <c r="F333">
        <v>2</v>
      </c>
      <c r="G333" t="s">
        <v>561</v>
      </c>
      <c r="H333" t="s">
        <v>858</v>
      </c>
      <c r="I333" t="s">
        <v>1169</v>
      </c>
      <c r="J333" t="s">
        <v>1404</v>
      </c>
      <c r="K333" t="s">
        <v>1623</v>
      </c>
      <c r="Z333" t="s">
        <v>2167</v>
      </c>
      <c r="AA333" t="s">
        <v>2167</v>
      </c>
    </row>
    <row r="334" spans="1:34" x14ac:dyDescent="0.3">
      <c r="A334" s="1">
        <v>592</v>
      </c>
      <c r="C334" t="s">
        <v>535</v>
      </c>
      <c r="D334">
        <v>2021</v>
      </c>
      <c r="E334">
        <v>0</v>
      </c>
      <c r="F334">
        <v>2</v>
      </c>
      <c r="G334" t="s">
        <v>561</v>
      </c>
      <c r="H334" t="s">
        <v>859</v>
      </c>
      <c r="I334" t="s">
        <v>1170</v>
      </c>
      <c r="J334" t="s">
        <v>1405</v>
      </c>
      <c r="K334" t="s">
        <v>1620</v>
      </c>
      <c r="Z334" t="s">
        <v>2166</v>
      </c>
      <c r="AA334" t="s">
        <v>2168</v>
      </c>
    </row>
    <row r="335" spans="1:34" x14ac:dyDescent="0.3">
      <c r="A335" s="1">
        <v>593</v>
      </c>
      <c r="C335" t="s">
        <v>536</v>
      </c>
      <c r="D335">
        <v>2021</v>
      </c>
      <c r="E335">
        <v>0</v>
      </c>
      <c r="F335">
        <v>4</v>
      </c>
      <c r="G335" t="s">
        <v>561</v>
      </c>
      <c r="H335" t="s">
        <v>753</v>
      </c>
      <c r="I335" t="s">
        <v>1071</v>
      </c>
      <c r="J335" t="s">
        <v>739</v>
      </c>
      <c r="K335" t="s">
        <v>1032</v>
      </c>
      <c r="L335" t="s">
        <v>1302</v>
      </c>
      <c r="M335" t="s">
        <v>1527</v>
      </c>
      <c r="N335" t="s">
        <v>1988</v>
      </c>
      <c r="O335" t="s">
        <v>1904</v>
      </c>
      <c r="Z335" t="s">
        <v>2167</v>
      </c>
      <c r="AA335" t="s">
        <v>2166</v>
      </c>
      <c r="AB335" t="s">
        <v>2168</v>
      </c>
      <c r="AC335" t="s">
        <v>2167</v>
      </c>
    </row>
    <row r="336" spans="1:34" x14ac:dyDescent="0.3">
      <c r="A336" s="1">
        <v>594</v>
      </c>
      <c r="C336" t="s">
        <v>537</v>
      </c>
      <c r="D336">
        <v>2021</v>
      </c>
      <c r="E336">
        <v>0</v>
      </c>
      <c r="F336">
        <v>2</v>
      </c>
      <c r="G336" t="s">
        <v>561</v>
      </c>
      <c r="H336" t="s">
        <v>860</v>
      </c>
      <c r="I336" t="s">
        <v>1171</v>
      </c>
      <c r="J336" t="s">
        <v>1406</v>
      </c>
      <c r="K336" t="s">
        <v>1624</v>
      </c>
      <c r="Z336" t="s">
        <v>2167</v>
      </c>
      <c r="AA336" t="s">
        <v>2167</v>
      </c>
    </row>
    <row r="337" spans="1:31" x14ac:dyDescent="0.3">
      <c r="A337" s="1">
        <v>595</v>
      </c>
      <c r="C337" t="s">
        <v>538</v>
      </c>
      <c r="D337">
        <v>2021</v>
      </c>
      <c r="E337">
        <v>0</v>
      </c>
      <c r="F337">
        <v>5</v>
      </c>
      <c r="G337" t="s">
        <v>561</v>
      </c>
      <c r="H337" t="s">
        <v>861</v>
      </c>
      <c r="I337" t="s">
        <v>1172</v>
      </c>
      <c r="J337" t="s">
        <v>1407</v>
      </c>
      <c r="K337" t="s">
        <v>1625</v>
      </c>
      <c r="L337" t="s">
        <v>1778</v>
      </c>
      <c r="M337" t="s">
        <v>1924</v>
      </c>
      <c r="N337" t="s">
        <v>1989</v>
      </c>
      <c r="O337" t="s">
        <v>2046</v>
      </c>
      <c r="P337" t="s">
        <v>2078</v>
      </c>
      <c r="Q337" t="s">
        <v>2102</v>
      </c>
      <c r="Z337" t="s">
        <v>2167</v>
      </c>
      <c r="AA337" t="s">
        <v>2167</v>
      </c>
      <c r="AB337" t="s">
        <v>2167</v>
      </c>
      <c r="AC337" t="s">
        <v>2167</v>
      </c>
      <c r="AD337" t="s">
        <v>2167</v>
      </c>
    </row>
    <row r="338" spans="1:31" x14ac:dyDescent="0.3">
      <c r="A338" s="1">
        <v>598</v>
      </c>
      <c r="C338" t="s">
        <v>539</v>
      </c>
      <c r="D338">
        <v>2021</v>
      </c>
      <c r="E338">
        <v>0</v>
      </c>
      <c r="F338">
        <v>6</v>
      </c>
      <c r="G338" t="s">
        <v>561</v>
      </c>
      <c r="H338" t="s">
        <v>862</v>
      </c>
      <c r="I338" t="s">
        <v>1173</v>
      </c>
      <c r="J338" t="s">
        <v>1408</v>
      </c>
      <c r="K338" t="s">
        <v>1626</v>
      </c>
      <c r="L338" t="s">
        <v>1779</v>
      </c>
      <c r="M338" t="s">
        <v>1925</v>
      </c>
      <c r="N338" t="s">
        <v>1990</v>
      </c>
      <c r="O338" t="s">
        <v>2047</v>
      </c>
      <c r="P338" t="s">
        <v>2079</v>
      </c>
      <c r="Q338" t="s">
        <v>2103</v>
      </c>
      <c r="R338" t="s">
        <v>2120</v>
      </c>
      <c r="S338" t="s">
        <v>2134</v>
      </c>
      <c r="Z338" t="s">
        <v>2167</v>
      </c>
      <c r="AA338" t="s">
        <v>2167</v>
      </c>
      <c r="AB338" t="s">
        <v>2166</v>
      </c>
      <c r="AC338" t="s">
        <v>2167</v>
      </c>
      <c r="AD338" t="s">
        <v>2168</v>
      </c>
      <c r="AE338" t="s">
        <v>2167</v>
      </c>
    </row>
    <row r="339" spans="1:31" x14ac:dyDescent="0.3">
      <c r="A339" s="1">
        <v>599</v>
      </c>
      <c r="C339" t="s">
        <v>540</v>
      </c>
      <c r="D339">
        <v>2021</v>
      </c>
      <c r="E339">
        <v>0</v>
      </c>
      <c r="F339">
        <v>3</v>
      </c>
      <c r="G339" t="s">
        <v>561</v>
      </c>
      <c r="H339" t="s">
        <v>863</v>
      </c>
      <c r="I339" t="s">
        <v>1174</v>
      </c>
      <c r="J339" t="s">
        <v>1409</v>
      </c>
      <c r="K339" t="s">
        <v>1627</v>
      </c>
      <c r="L339" t="s">
        <v>1780</v>
      </c>
      <c r="M339" t="s">
        <v>1926</v>
      </c>
      <c r="Z339" t="s">
        <v>2167</v>
      </c>
      <c r="AA339" t="s">
        <v>2167</v>
      </c>
      <c r="AB339" t="s">
        <v>2167</v>
      </c>
    </row>
    <row r="340" spans="1:31" x14ac:dyDescent="0.3">
      <c r="A340" s="1">
        <v>600</v>
      </c>
      <c r="C340" t="s">
        <v>541</v>
      </c>
      <c r="D340">
        <v>2021</v>
      </c>
      <c r="E340">
        <v>0</v>
      </c>
      <c r="F340">
        <v>1</v>
      </c>
      <c r="G340" t="s">
        <v>561</v>
      </c>
      <c r="H340" t="s">
        <v>864</v>
      </c>
      <c r="I340" t="s">
        <v>1175</v>
      </c>
      <c r="Z340" t="s">
        <v>2167</v>
      </c>
    </row>
    <row r="341" spans="1:31" x14ac:dyDescent="0.3">
      <c r="A341" s="1">
        <v>603</v>
      </c>
      <c r="C341" t="s">
        <v>542</v>
      </c>
      <c r="D341">
        <v>2021</v>
      </c>
      <c r="E341">
        <v>0</v>
      </c>
      <c r="F341">
        <v>6</v>
      </c>
      <c r="G341" t="s">
        <v>561</v>
      </c>
      <c r="H341" t="s">
        <v>681</v>
      </c>
      <c r="I341" t="s">
        <v>1003</v>
      </c>
      <c r="J341" t="s">
        <v>1274</v>
      </c>
      <c r="K341" t="s">
        <v>1502</v>
      </c>
      <c r="L341" t="s">
        <v>1695</v>
      </c>
      <c r="M341" t="s">
        <v>1846</v>
      </c>
      <c r="N341" t="s">
        <v>1953</v>
      </c>
      <c r="O341" t="s">
        <v>2013</v>
      </c>
      <c r="P341" t="s">
        <v>2063</v>
      </c>
      <c r="Q341" t="s">
        <v>2088</v>
      </c>
      <c r="R341" t="s">
        <v>2111</v>
      </c>
      <c r="S341" t="s">
        <v>2126</v>
      </c>
      <c r="Z341" t="s">
        <v>2167</v>
      </c>
      <c r="AA341" t="s">
        <v>2166</v>
      </c>
      <c r="AB341" t="s">
        <v>2166</v>
      </c>
      <c r="AC341" t="s">
        <v>2166</v>
      </c>
      <c r="AD341" t="s">
        <v>2168</v>
      </c>
      <c r="AE341" t="s">
        <v>2166</v>
      </c>
    </row>
    <row r="342" spans="1:31" x14ac:dyDescent="0.3">
      <c r="A342" s="1">
        <v>604</v>
      </c>
      <c r="B342" s="2" t="s">
        <v>199</v>
      </c>
      <c r="C342" t="s">
        <v>543</v>
      </c>
      <c r="D342">
        <v>2017</v>
      </c>
      <c r="E342">
        <v>0</v>
      </c>
      <c r="F342">
        <v>3</v>
      </c>
      <c r="G342" t="s">
        <v>561</v>
      </c>
      <c r="H342" t="s">
        <v>865</v>
      </c>
      <c r="I342" t="s">
        <v>1176</v>
      </c>
      <c r="J342" t="s">
        <v>1410</v>
      </c>
      <c r="K342" t="s">
        <v>953</v>
      </c>
      <c r="L342" t="s">
        <v>1781</v>
      </c>
      <c r="M342" t="s">
        <v>1927</v>
      </c>
      <c r="Z342" t="s">
        <v>2168</v>
      </c>
      <c r="AA342" t="s">
        <v>2168</v>
      </c>
      <c r="AB342" t="s">
        <v>2166</v>
      </c>
    </row>
    <row r="343" spans="1:31" x14ac:dyDescent="0.3">
      <c r="A343" s="1">
        <v>605</v>
      </c>
      <c r="C343" t="s">
        <v>544</v>
      </c>
      <c r="D343">
        <v>2021</v>
      </c>
      <c r="E343">
        <v>0</v>
      </c>
      <c r="F343">
        <v>4</v>
      </c>
      <c r="G343" t="s">
        <v>561</v>
      </c>
      <c r="H343" t="s">
        <v>866</v>
      </c>
      <c r="I343" t="s">
        <v>1177</v>
      </c>
      <c r="J343" t="s">
        <v>1411</v>
      </c>
      <c r="K343" t="s">
        <v>1628</v>
      </c>
      <c r="L343" t="s">
        <v>1782</v>
      </c>
      <c r="M343" t="s">
        <v>1928</v>
      </c>
      <c r="N343" t="s">
        <v>1991</v>
      </c>
      <c r="O343" t="s">
        <v>2048</v>
      </c>
      <c r="Z343" t="s">
        <v>2167</v>
      </c>
      <c r="AA343" t="s">
        <v>2168</v>
      </c>
      <c r="AB343" t="s">
        <v>2167</v>
      </c>
      <c r="AC343" t="s">
        <v>2168</v>
      </c>
    </row>
    <row r="344" spans="1:31" x14ac:dyDescent="0.3">
      <c r="A344" s="1">
        <v>606</v>
      </c>
      <c r="C344" t="s">
        <v>545</v>
      </c>
      <c r="D344">
        <v>2015</v>
      </c>
      <c r="E344">
        <v>0</v>
      </c>
      <c r="F344">
        <v>1</v>
      </c>
      <c r="G344" t="s">
        <v>561</v>
      </c>
      <c r="H344" t="s">
        <v>867</v>
      </c>
      <c r="I344" t="s">
        <v>1178</v>
      </c>
      <c r="Z344" t="s">
        <v>2167</v>
      </c>
    </row>
    <row r="345" spans="1:31" x14ac:dyDescent="0.3">
      <c r="A345" s="1">
        <v>608</v>
      </c>
      <c r="C345" t="s">
        <v>546</v>
      </c>
      <c r="D345">
        <v>2021</v>
      </c>
      <c r="E345">
        <v>0</v>
      </c>
      <c r="F345">
        <v>3</v>
      </c>
      <c r="G345" t="s">
        <v>561</v>
      </c>
      <c r="H345" t="s">
        <v>868</v>
      </c>
      <c r="I345" t="s">
        <v>1179</v>
      </c>
      <c r="J345" t="s">
        <v>1412</v>
      </c>
      <c r="K345" t="s">
        <v>1629</v>
      </c>
      <c r="L345" t="s">
        <v>1783</v>
      </c>
      <c r="M345" t="s">
        <v>1929</v>
      </c>
      <c r="Z345" t="s">
        <v>2167</v>
      </c>
      <c r="AA345" t="s">
        <v>2167</v>
      </c>
      <c r="AB345" t="s">
        <v>2167</v>
      </c>
    </row>
    <row r="346" spans="1:31" x14ac:dyDescent="0.3">
      <c r="A346" s="1">
        <v>609</v>
      </c>
      <c r="C346" t="s">
        <v>547</v>
      </c>
      <c r="D346">
        <v>2021</v>
      </c>
      <c r="E346">
        <v>0</v>
      </c>
      <c r="F346">
        <v>3</v>
      </c>
      <c r="G346" t="s">
        <v>561</v>
      </c>
      <c r="H346" t="s">
        <v>869</v>
      </c>
      <c r="I346" t="s">
        <v>1180</v>
      </c>
      <c r="J346" t="s">
        <v>1413</v>
      </c>
      <c r="K346" t="s">
        <v>1630</v>
      </c>
      <c r="L346" t="s">
        <v>1784</v>
      </c>
      <c r="M346" t="s">
        <v>1930</v>
      </c>
      <c r="Z346" t="s">
        <v>2167</v>
      </c>
      <c r="AA346" t="s">
        <v>2167</v>
      </c>
      <c r="AB346" t="s">
        <v>2167</v>
      </c>
    </row>
    <row r="347" spans="1:31" x14ac:dyDescent="0.3">
      <c r="A347" s="1">
        <v>610</v>
      </c>
      <c r="C347" t="s">
        <v>548</v>
      </c>
      <c r="D347">
        <v>2021</v>
      </c>
      <c r="E347">
        <v>0</v>
      </c>
      <c r="F347">
        <v>4</v>
      </c>
      <c r="G347" t="s">
        <v>561</v>
      </c>
      <c r="H347" t="s">
        <v>870</v>
      </c>
      <c r="I347" t="s">
        <v>1181</v>
      </c>
      <c r="J347" t="s">
        <v>1414</v>
      </c>
      <c r="K347" t="s">
        <v>1631</v>
      </c>
      <c r="L347" t="s">
        <v>1785</v>
      </c>
      <c r="M347" t="s">
        <v>1931</v>
      </c>
      <c r="N347" t="s">
        <v>1992</v>
      </c>
      <c r="O347" t="s">
        <v>2049</v>
      </c>
      <c r="Z347" t="s">
        <v>2168</v>
      </c>
      <c r="AA347" t="s">
        <v>2166</v>
      </c>
      <c r="AB347" t="s">
        <v>2167</v>
      </c>
      <c r="AC347" t="s">
        <v>2167</v>
      </c>
    </row>
    <row r="348" spans="1:31" x14ac:dyDescent="0.3">
      <c r="A348" s="1">
        <v>611</v>
      </c>
      <c r="C348" t="s">
        <v>549</v>
      </c>
      <c r="D348">
        <v>2021</v>
      </c>
      <c r="E348">
        <v>0</v>
      </c>
      <c r="F348">
        <v>3</v>
      </c>
      <c r="G348" t="s">
        <v>561</v>
      </c>
      <c r="H348" t="s">
        <v>871</v>
      </c>
      <c r="I348" t="s">
        <v>1182</v>
      </c>
      <c r="J348" t="s">
        <v>1415</v>
      </c>
      <c r="K348" t="s">
        <v>1632</v>
      </c>
      <c r="L348" t="s">
        <v>1786</v>
      </c>
      <c r="M348" t="s">
        <v>1932</v>
      </c>
      <c r="Z348" t="s">
        <v>2167</v>
      </c>
      <c r="AA348" t="s">
        <v>2167</v>
      </c>
      <c r="AB348" t="s">
        <v>2168</v>
      </c>
    </row>
    <row r="349" spans="1:31" x14ac:dyDescent="0.3">
      <c r="A349" s="1">
        <v>612</v>
      </c>
      <c r="C349" t="s">
        <v>550</v>
      </c>
      <c r="D349">
        <v>2021</v>
      </c>
      <c r="E349">
        <v>0</v>
      </c>
      <c r="F349">
        <v>3</v>
      </c>
      <c r="G349" t="s">
        <v>561</v>
      </c>
      <c r="H349" t="s">
        <v>872</v>
      </c>
      <c r="I349" t="s">
        <v>1183</v>
      </c>
      <c r="J349" t="s">
        <v>1416</v>
      </c>
      <c r="K349" t="s">
        <v>1633</v>
      </c>
      <c r="L349" t="s">
        <v>1787</v>
      </c>
      <c r="M349" t="s">
        <v>1933</v>
      </c>
      <c r="Z349" t="s">
        <v>2168</v>
      </c>
      <c r="AA349" t="s">
        <v>2168</v>
      </c>
      <c r="AB349" t="s">
        <v>2166</v>
      </c>
    </row>
    <row r="350" spans="1:31" x14ac:dyDescent="0.3">
      <c r="A350" s="1">
        <v>613</v>
      </c>
      <c r="C350" t="s">
        <v>551</v>
      </c>
      <c r="D350">
        <v>2021</v>
      </c>
      <c r="E350">
        <v>0</v>
      </c>
      <c r="F350">
        <v>4</v>
      </c>
      <c r="G350" t="s">
        <v>561</v>
      </c>
      <c r="H350" t="s">
        <v>873</v>
      </c>
      <c r="I350" t="s">
        <v>1184</v>
      </c>
      <c r="J350" t="s">
        <v>1417</v>
      </c>
      <c r="K350" t="s">
        <v>1634</v>
      </c>
      <c r="L350" t="s">
        <v>1788</v>
      </c>
      <c r="M350" t="s">
        <v>1934</v>
      </c>
      <c r="N350" t="s">
        <v>1993</v>
      </c>
      <c r="O350" t="s">
        <v>2050</v>
      </c>
      <c r="Z350" t="s">
        <v>2167</v>
      </c>
      <c r="AA350" t="s">
        <v>2167</v>
      </c>
      <c r="AB350" t="s">
        <v>2167</v>
      </c>
      <c r="AC350" t="s">
        <v>2167</v>
      </c>
    </row>
    <row r="351" spans="1:31" x14ac:dyDescent="0.3">
      <c r="A351" s="1">
        <v>614</v>
      </c>
      <c r="B351" s="2" t="s">
        <v>200</v>
      </c>
      <c r="C351" t="s">
        <v>552</v>
      </c>
      <c r="D351">
        <v>2021</v>
      </c>
      <c r="E351">
        <v>0</v>
      </c>
      <c r="F351">
        <v>1</v>
      </c>
      <c r="G351" t="s">
        <v>561</v>
      </c>
      <c r="H351" t="s">
        <v>874</v>
      </c>
      <c r="I351" t="s">
        <v>1185</v>
      </c>
      <c r="Z351" t="s">
        <v>2168</v>
      </c>
    </row>
    <row r="352" spans="1:31" x14ac:dyDescent="0.3">
      <c r="A352" s="1">
        <v>615</v>
      </c>
      <c r="C352" t="s">
        <v>553</v>
      </c>
      <c r="D352">
        <v>2021</v>
      </c>
      <c r="E352">
        <v>0</v>
      </c>
      <c r="F352">
        <v>1</v>
      </c>
      <c r="G352" t="s">
        <v>561</v>
      </c>
      <c r="H352" t="s">
        <v>875</v>
      </c>
      <c r="I352" t="s">
        <v>1186</v>
      </c>
      <c r="Z352" t="s">
        <v>2168</v>
      </c>
    </row>
    <row r="353" spans="1:32" x14ac:dyDescent="0.3">
      <c r="A353" s="1">
        <v>616</v>
      </c>
      <c r="C353" t="s">
        <v>554</v>
      </c>
      <c r="D353">
        <v>2021</v>
      </c>
      <c r="E353">
        <v>0</v>
      </c>
      <c r="F353">
        <v>4</v>
      </c>
      <c r="G353" t="s">
        <v>561</v>
      </c>
      <c r="H353" t="s">
        <v>826</v>
      </c>
      <c r="I353" t="s">
        <v>1140</v>
      </c>
      <c r="J353" t="s">
        <v>1418</v>
      </c>
      <c r="K353" t="s">
        <v>1635</v>
      </c>
      <c r="L353" t="s">
        <v>1789</v>
      </c>
      <c r="M353" t="s">
        <v>1935</v>
      </c>
      <c r="N353" t="s">
        <v>1994</v>
      </c>
      <c r="O353" t="s">
        <v>2051</v>
      </c>
      <c r="Z353" t="s">
        <v>2167</v>
      </c>
      <c r="AA353" t="s">
        <v>2167</v>
      </c>
      <c r="AB353" t="s">
        <v>2167</v>
      </c>
      <c r="AC353" t="s">
        <v>2167</v>
      </c>
    </row>
    <row r="354" spans="1:32" x14ac:dyDescent="0.3">
      <c r="A354" s="1">
        <v>617</v>
      </c>
      <c r="C354" t="s">
        <v>555</v>
      </c>
      <c r="D354">
        <v>2020</v>
      </c>
      <c r="E354">
        <v>0</v>
      </c>
      <c r="F354">
        <v>1</v>
      </c>
      <c r="G354" t="s">
        <v>561</v>
      </c>
      <c r="H354" t="s">
        <v>876</v>
      </c>
      <c r="I354" t="s">
        <v>1187</v>
      </c>
      <c r="Z354" t="s">
        <v>2167</v>
      </c>
    </row>
    <row r="355" spans="1:32" x14ac:dyDescent="0.3">
      <c r="A355" s="1">
        <v>618</v>
      </c>
      <c r="C355" t="s">
        <v>556</v>
      </c>
      <c r="D355">
        <v>2017</v>
      </c>
      <c r="E355">
        <v>0</v>
      </c>
      <c r="F355">
        <v>2</v>
      </c>
      <c r="G355" t="s">
        <v>561</v>
      </c>
      <c r="H355" t="s">
        <v>877</v>
      </c>
      <c r="I355" t="s">
        <v>1188</v>
      </c>
      <c r="J355" t="s">
        <v>1419</v>
      </c>
      <c r="K355" t="s">
        <v>1549</v>
      </c>
      <c r="Z355" t="s">
        <v>2166</v>
      </c>
      <c r="AA355" t="s">
        <v>2166</v>
      </c>
    </row>
    <row r="356" spans="1:32" x14ac:dyDescent="0.3">
      <c r="A356" s="1">
        <v>620</v>
      </c>
      <c r="B356" s="2" t="s">
        <v>201</v>
      </c>
      <c r="C356" t="s">
        <v>557</v>
      </c>
      <c r="D356">
        <v>2021</v>
      </c>
      <c r="E356">
        <v>0</v>
      </c>
      <c r="F356">
        <v>6</v>
      </c>
      <c r="G356" t="s">
        <v>561</v>
      </c>
      <c r="H356" t="s">
        <v>878</v>
      </c>
      <c r="I356" t="s">
        <v>1189</v>
      </c>
      <c r="J356" t="s">
        <v>1420</v>
      </c>
      <c r="L356" t="s">
        <v>1790</v>
      </c>
      <c r="M356" t="s">
        <v>1936</v>
      </c>
      <c r="N356" t="s">
        <v>1995</v>
      </c>
      <c r="O356" t="s">
        <v>2052</v>
      </c>
      <c r="P356" t="s">
        <v>2080</v>
      </c>
      <c r="R356" t="s">
        <v>2121</v>
      </c>
      <c r="Z356" t="s">
        <v>2166</v>
      </c>
      <c r="AB356" t="s">
        <v>2168</v>
      </c>
      <c r="AC356" t="s">
        <v>2166</v>
      </c>
    </row>
    <row r="357" spans="1:32" x14ac:dyDescent="0.3">
      <c r="A357" s="1">
        <v>622</v>
      </c>
      <c r="B357" s="2" t="s">
        <v>202</v>
      </c>
      <c r="C357" t="s">
        <v>558</v>
      </c>
      <c r="D357">
        <v>2021</v>
      </c>
      <c r="E357">
        <v>0</v>
      </c>
      <c r="F357">
        <v>2</v>
      </c>
      <c r="G357" t="s">
        <v>561</v>
      </c>
      <c r="H357" t="s">
        <v>879</v>
      </c>
      <c r="I357" t="s">
        <v>1190</v>
      </c>
      <c r="J357" t="s">
        <v>1421</v>
      </c>
      <c r="Z357" t="s">
        <v>2166</v>
      </c>
    </row>
    <row r="358" spans="1:32" x14ac:dyDescent="0.3">
      <c r="A358" s="1">
        <v>638</v>
      </c>
      <c r="B358" s="2" t="s">
        <v>203</v>
      </c>
      <c r="C358" t="s">
        <v>559</v>
      </c>
      <c r="D358">
        <v>2016</v>
      </c>
      <c r="E358">
        <v>0</v>
      </c>
      <c r="F358">
        <v>2</v>
      </c>
      <c r="G358" t="s">
        <v>561</v>
      </c>
      <c r="H358" t="s">
        <v>880</v>
      </c>
      <c r="I358" t="s">
        <v>1191</v>
      </c>
      <c r="J358" t="s">
        <v>1422</v>
      </c>
      <c r="K358" t="s">
        <v>1636</v>
      </c>
      <c r="Z358" t="s">
        <v>2166</v>
      </c>
      <c r="AA358" t="s">
        <v>2167</v>
      </c>
    </row>
    <row r="359" spans="1:32" x14ac:dyDescent="0.3">
      <c r="A359" s="1">
        <v>640</v>
      </c>
      <c r="B359" s="2" t="s">
        <v>204</v>
      </c>
      <c r="C359" t="s">
        <v>560</v>
      </c>
      <c r="D359">
        <v>2016</v>
      </c>
      <c r="E359">
        <v>0</v>
      </c>
      <c r="F359">
        <v>2</v>
      </c>
      <c r="G359" t="s">
        <v>561</v>
      </c>
      <c r="H359" t="s">
        <v>881</v>
      </c>
      <c r="I359" t="s">
        <v>1192</v>
      </c>
      <c r="J359" t="s">
        <v>1423</v>
      </c>
      <c r="K359" t="s">
        <v>1637</v>
      </c>
      <c r="Z359" t="s">
        <v>2166</v>
      </c>
      <c r="AA359" t="s">
        <v>2168</v>
      </c>
    </row>
    <row r="360" spans="1:32" x14ac:dyDescent="0.3">
      <c r="A360" s="1">
        <v>663</v>
      </c>
      <c r="C360" t="s">
        <v>402</v>
      </c>
      <c r="D360">
        <v>2016</v>
      </c>
      <c r="E360">
        <v>0</v>
      </c>
      <c r="F360">
        <v>1</v>
      </c>
      <c r="G360" t="s">
        <v>561</v>
      </c>
      <c r="H360" t="s">
        <v>737</v>
      </c>
      <c r="I360" t="s">
        <v>1056</v>
      </c>
      <c r="Z360" t="s">
        <v>2166</v>
      </c>
    </row>
    <row r="361" spans="1:32" x14ac:dyDescent="0.3">
      <c r="A361" s="1">
        <v>689</v>
      </c>
      <c r="C361" t="s">
        <v>401</v>
      </c>
      <c r="D361">
        <v>2016</v>
      </c>
      <c r="E361">
        <v>0</v>
      </c>
      <c r="F361">
        <v>7</v>
      </c>
      <c r="G361" t="s">
        <v>561</v>
      </c>
      <c r="H361" t="s">
        <v>736</v>
      </c>
      <c r="I361" t="s">
        <v>1055</v>
      </c>
      <c r="J361" t="s">
        <v>1323</v>
      </c>
      <c r="K361" t="s">
        <v>1547</v>
      </c>
      <c r="L361" t="s">
        <v>1728</v>
      </c>
      <c r="M361" t="s">
        <v>1877</v>
      </c>
      <c r="N361" t="s">
        <v>1971</v>
      </c>
      <c r="O361" t="s">
        <v>2030</v>
      </c>
      <c r="P361" t="s">
        <v>2068</v>
      </c>
      <c r="Q361" t="s">
        <v>2093</v>
      </c>
      <c r="R361" t="s">
        <v>2113</v>
      </c>
      <c r="S361" t="s">
        <v>2128</v>
      </c>
      <c r="T361" t="s">
        <v>2139</v>
      </c>
      <c r="U361" t="s">
        <v>2146</v>
      </c>
      <c r="Z361" t="s">
        <v>2168</v>
      </c>
      <c r="AA361" t="s">
        <v>2168</v>
      </c>
      <c r="AB361" t="s">
        <v>2167</v>
      </c>
      <c r="AC361" t="s">
        <v>2167</v>
      </c>
      <c r="AD361" t="s">
        <v>2168</v>
      </c>
      <c r="AE361" t="s">
        <v>2167</v>
      </c>
      <c r="AF361" t="s">
        <v>2168</v>
      </c>
    </row>
    <row r="362" spans="1:32" x14ac:dyDescent="0.3">
      <c r="A362" s="1">
        <v>694</v>
      </c>
      <c r="B362" s="2" t="s">
        <v>205</v>
      </c>
      <c r="C362" t="s">
        <v>345</v>
      </c>
      <c r="D362">
        <v>2019</v>
      </c>
      <c r="E362">
        <v>0</v>
      </c>
      <c r="F362">
        <v>4</v>
      </c>
      <c r="G362" t="s">
        <v>561</v>
      </c>
      <c r="H362" t="s">
        <v>882</v>
      </c>
      <c r="I362" t="s">
        <v>1005</v>
      </c>
      <c r="J362" t="s">
        <v>1424</v>
      </c>
      <c r="K362" t="s">
        <v>1504</v>
      </c>
      <c r="L362" t="s">
        <v>1791</v>
      </c>
      <c r="M362" t="s">
        <v>1848</v>
      </c>
      <c r="N362" t="s">
        <v>1996</v>
      </c>
      <c r="O362" t="s">
        <v>2015</v>
      </c>
      <c r="Z362" t="s">
        <v>2166</v>
      </c>
      <c r="AA362" t="s">
        <v>2167</v>
      </c>
      <c r="AB362" t="s">
        <v>2166</v>
      </c>
      <c r="AC362" t="s">
        <v>2167</v>
      </c>
    </row>
    <row r="363" spans="1:32" x14ac:dyDescent="0.3">
      <c r="A363" s="1">
        <v>699</v>
      </c>
      <c r="B363" s="2" t="s">
        <v>171</v>
      </c>
      <c r="C363" t="s">
        <v>346</v>
      </c>
      <c r="D363">
        <v>2017</v>
      </c>
      <c r="E363">
        <v>0</v>
      </c>
      <c r="F363">
        <v>4</v>
      </c>
      <c r="G363" t="s">
        <v>561</v>
      </c>
      <c r="H363" t="s">
        <v>883</v>
      </c>
      <c r="I363" t="s">
        <v>1006</v>
      </c>
      <c r="J363" t="s">
        <v>1278</v>
      </c>
      <c r="K363" t="s">
        <v>1505</v>
      </c>
      <c r="L363" t="s">
        <v>1792</v>
      </c>
      <c r="M363" t="s">
        <v>1849</v>
      </c>
      <c r="N363" t="s">
        <v>1956</v>
      </c>
      <c r="O363" t="s">
        <v>2016</v>
      </c>
      <c r="Z363" t="s">
        <v>2166</v>
      </c>
      <c r="AA363" t="s">
        <v>2167</v>
      </c>
      <c r="AB363" t="s">
        <v>2166</v>
      </c>
      <c r="AC363" t="s">
        <v>2166</v>
      </c>
    </row>
  </sheetData>
  <hyperlinks>
    <hyperlink ref="B2" r:id="rId1"/>
    <hyperlink ref="B3" r:id="rId2"/>
    <hyperlink ref="B4" r:id="rId3"/>
    <hyperlink ref="B5" r:id="rId4"/>
    <hyperlink ref="B6" r:id="rId5"/>
    <hyperlink ref="B7" r:id="rId6"/>
    <hyperlink ref="B8" r:id="rId7"/>
    <hyperlink ref="B9" r:id="rId8"/>
    <hyperlink ref="B10" r:id="rId9"/>
    <hyperlink ref="B11" r:id="rId10"/>
    <hyperlink ref="B12" r:id="rId11"/>
    <hyperlink ref="B13" r:id="rId12"/>
    <hyperlink ref="B14" r:id="rId13"/>
    <hyperlink ref="B15" r:id="rId14"/>
    <hyperlink ref="B16" r:id="rId15"/>
    <hyperlink ref="B17" r:id="rId16"/>
    <hyperlink ref="B18" r:id="rId17"/>
    <hyperlink ref="B19" r:id="rId18"/>
    <hyperlink ref="B20" r:id="rId19"/>
    <hyperlink ref="B21" r:id="rId20"/>
    <hyperlink ref="B22" r:id="rId21"/>
    <hyperlink ref="B23" r:id="rId22"/>
    <hyperlink ref="B24" r:id="rId23"/>
    <hyperlink ref="B25" r:id="rId24"/>
    <hyperlink ref="B26" r:id="rId25"/>
    <hyperlink ref="B27" r:id="rId26"/>
    <hyperlink ref="B28" r:id="rId27"/>
    <hyperlink ref="B29" r:id="rId28"/>
    <hyperlink ref="B30" r:id="rId29"/>
    <hyperlink ref="B31" r:id="rId30"/>
    <hyperlink ref="B32" r:id="rId31"/>
    <hyperlink ref="B33" r:id="rId32"/>
    <hyperlink ref="B34" r:id="rId33"/>
    <hyperlink ref="B35" r:id="rId34"/>
    <hyperlink ref="B36" r:id="rId35"/>
    <hyperlink ref="B37" r:id="rId36"/>
    <hyperlink ref="B38" r:id="rId37"/>
    <hyperlink ref="B39" r:id="rId38"/>
    <hyperlink ref="B40" r:id="rId39"/>
    <hyperlink ref="B41" r:id="rId40"/>
    <hyperlink ref="B42" r:id="rId41"/>
    <hyperlink ref="B43" r:id="rId42"/>
    <hyperlink ref="B44" r:id="rId43"/>
    <hyperlink ref="B45" r:id="rId44"/>
    <hyperlink ref="B46" r:id="rId45"/>
    <hyperlink ref="B47" r:id="rId46"/>
    <hyperlink ref="B48" r:id="rId47"/>
    <hyperlink ref="B49" r:id="rId48"/>
    <hyperlink ref="B50" r:id="rId49"/>
    <hyperlink ref="B51" r:id="rId50"/>
    <hyperlink ref="B52" r:id="rId51"/>
    <hyperlink ref="B53" r:id="rId52"/>
    <hyperlink ref="B54" r:id="rId53"/>
    <hyperlink ref="B55" r:id="rId54"/>
    <hyperlink ref="B56" r:id="rId55"/>
    <hyperlink ref="B57" r:id="rId56"/>
    <hyperlink ref="B58" r:id="rId57"/>
    <hyperlink ref="B59" r:id="rId58"/>
    <hyperlink ref="B60" r:id="rId59"/>
    <hyperlink ref="B61" r:id="rId60"/>
    <hyperlink ref="B62" r:id="rId61"/>
    <hyperlink ref="B63" r:id="rId62"/>
    <hyperlink ref="B64" r:id="rId63"/>
    <hyperlink ref="B65" r:id="rId64"/>
    <hyperlink ref="B66" r:id="rId65"/>
    <hyperlink ref="B67" r:id="rId66"/>
    <hyperlink ref="B68" r:id="rId67"/>
    <hyperlink ref="B69" r:id="rId68"/>
    <hyperlink ref="B70" r:id="rId69"/>
    <hyperlink ref="B71" r:id="rId70"/>
    <hyperlink ref="B72" r:id="rId71"/>
    <hyperlink ref="B73" r:id="rId72"/>
    <hyperlink ref="B74" r:id="rId73"/>
    <hyperlink ref="B75" r:id="rId74"/>
    <hyperlink ref="B76" r:id="rId75"/>
    <hyperlink ref="B77" r:id="rId76"/>
    <hyperlink ref="B78" r:id="rId77"/>
    <hyperlink ref="B79" r:id="rId78"/>
    <hyperlink ref="B80" r:id="rId79"/>
    <hyperlink ref="B81" r:id="rId80"/>
    <hyperlink ref="B82" r:id="rId81"/>
    <hyperlink ref="B83" r:id="rId82"/>
    <hyperlink ref="B84" r:id="rId83"/>
    <hyperlink ref="B85" r:id="rId84"/>
    <hyperlink ref="B86" r:id="rId85"/>
    <hyperlink ref="B87" r:id="rId86"/>
    <hyperlink ref="B88" r:id="rId87"/>
    <hyperlink ref="B89" r:id="rId88"/>
    <hyperlink ref="B90" r:id="rId89"/>
    <hyperlink ref="B91" r:id="rId90"/>
    <hyperlink ref="B92" r:id="rId91"/>
    <hyperlink ref="B93" r:id="rId92"/>
    <hyperlink ref="B94" r:id="rId93"/>
    <hyperlink ref="B95" r:id="rId94"/>
    <hyperlink ref="B96" r:id="rId95"/>
    <hyperlink ref="B97" r:id="rId96"/>
    <hyperlink ref="B98" r:id="rId97"/>
    <hyperlink ref="B99" r:id="rId98"/>
    <hyperlink ref="B100" r:id="rId99"/>
    <hyperlink ref="B101" r:id="rId100"/>
    <hyperlink ref="B102" r:id="rId101"/>
    <hyperlink ref="B103" r:id="rId102"/>
    <hyperlink ref="B104" r:id="rId103"/>
    <hyperlink ref="B105" r:id="rId104"/>
    <hyperlink ref="B106" r:id="rId105"/>
    <hyperlink ref="B107" r:id="rId106"/>
    <hyperlink ref="B109" r:id="rId107"/>
    <hyperlink ref="B110" r:id="rId108"/>
    <hyperlink ref="B111" r:id="rId109"/>
    <hyperlink ref="B112" r:id="rId110"/>
    <hyperlink ref="B113" r:id="rId111"/>
    <hyperlink ref="B114" r:id="rId112"/>
    <hyperlink ref="B115" r:id="rId113"/>
    <hyperlink ref="B116" r:id="rId114"/>
    <hyperlink ref="B117" r:id="rId115"/>
    <hyperlink ref="B118" r:id="rId116"/>
    <hyperlink ref="B119" r:id="rId117"/>
    <hyperlink ref="B121" r:id="rId118"/>
    <hyperlink ref="B122" r:id="rId119"/>
    <hyperlink ref="B123" r:id="rId120"/>
    <hyperlink ref="B124" r:id="rId121"/>
    <hyperlink ref="B125" r:id="rId122"/>
    <hyperlink ref="B126" r:id="rId123"/>
    <hyperlink ref="B127" r:id="rId124"/>
    <hyperlink ref="B128" r:id="rId125"/>
    <hyperlink ref="B129" r:id="rId126"/>
    <hyperlink ref="B130" r:id="rId127"/>
    <hyperlink ref="B131" r:id="rId128"/>
    <hyperlink ref="B132" r:id="rId129"/>
    <hyperlink ref="B133" r:id="rId130"/>
    <hyperlink ref="B134" r:id="rId131"/>
    <hyperlink ref="B135" r:id="rId132"/>
    <hyperlink ref="B136" r:id="rId133"/>
    <hyperlink ref="B137" r:id="rId134"/>
    <hyperlink ref="B138" r:id="rId135"/>
    <hyperlink ref="B139" r:id="rId136"/>
    <hyperlink ref="B140" r:id="rId137"/>
    <hyperlink ref="B141" r:id="rId138"/>
    <hyperlink ref="B143" r:id="rId139"/>
    <hyperlink ref="B146" r:id="rId140"/>
    <hyperlink ref="B148" r:id="rId141"/>
    <hyperlink ref="B149" r:id="rId142"/>
    <hyperlink ref="B150" r:id="rId143"/>
    <hyperlink ref="B151" r:id="rId144"/>
    <hyperlink ref="B152" r:id="rId145"/>
    <hyperlink ref="B153" r:id="rId146"/>
    <hyperlink ref="B154" r:id="rId147"/>
    <hyperlink ref="B156" r:id="rId148"/>
    <hyperlink ref="B157" r:id="rId149"/>
    <hyperlink ref="B158" r:id="rId150"/>
    <hyperlink ref="B159" r:id="rId151"/>
    <hyperlink ref="B160" r:id="rId152"/>
    <hyperlink ref="B161" r:id="rId153"/>
    <hyperlink ref="B162" r:id="rId154"/>
    <hyperlink ref="B163" r:id="rId155"/>
    <hyperlink ref="B166" r:id="rId156"/>
    <hyperlink ref="B200" r:id="rId157"/>
    <hyperlink ref="B201" r:id="rId158"/>
    <hyperlink ref="B224" r:id="rId159"/>
    <hyperlink ref="B225" r:id="rId160"/>
    <hyperlink ref="B240" r:id="rId161"/>
    <hyperlink ref="B254" r:id="rId162"/>
    <hyperlink ref="B298" r:id="rId163"/>
    <hyperlink ref="B313" r:id="rId164"/>
    <hyperlink ref="B317" r:id="rId165"/>
    <hyperlink ref="B330" r:id="rId166"/>
    <hyperlink ref="B342" r:id="rId167"/>
    <hyperlink ref="B351" r:id="rId168"/>
    <hyperlink ref="B356" r:id="rId169"/>
    <hyperlink ref="B357" r:id="rId170"/>
    <hyperlink ref="B358" r:id="rId171"/>
    <hyperlink ref="B359" r:id="rId172"/>
    <hyperlink ref="B362" r:id="rId173"/>
    <hyperlink ref="B363" r:id="rId174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AU740"/>
  <sheetViews>
    <sheetView tabSelected="1" topLeftCell="D435" zoomScale="85" zoomScaleNormal="85" workbookViewId="0">
      <selection activeCell="Z455" sqref="Z455"/>
    </sheetView>
  </sheetViews>
  <sheetFormatPr defaultRowHeight="14.4" x14ac:dyDescent="0.3"/>
  <sheetData>
    <row r="1" spans="1:47" x14ac:dyDescent="0.3"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  <c r="J1" s="1" t="s">
        <v>8</v>
      </c>
      <c r="K1" s="1" t="s">
        <v>9</v>
      </c>
      <c r="L1" s="1" t="s">
        <v>10</v>
      </c>
      <c r="M1" s="1" t="s">
        <v>11</v>
      </c>
      <c r="N1" s="1" t="s">
        <v>12</v>
      </c>
      <c r="O1" s="1" t="s">
        <v>13</v>
      </c>
      <c r="P1" s="1" t="s">
        <v>14</v>
      </c>
      <c r="Q1" s="1" t="s">
        <v>15</v>
      </c>
      <c r="R1" s="1" t="s">
        <v>16</v>
      </c>
      <c r="S1" s="1" t="s">
        <v>17</v>
      </c>
      <c r="T1" s="1" t="s">
        <v>18</v>
      </c>
      <c r="U1" s="1" t="s">
        <v>19</v>
      </c>
      <c r="V1" s="1" t="s">
        <v>20</v>
      </c>
      <c r="W1" s="1" t="s">
        <v>21</v>
      </c>
      <c r="X1" s="1" t="s">
        <v>22</v>
      </c>
      <c r="Y1" s="1" t="s">
        <v>23</v>
      </c>
      <c r="Z1" s="1" t="s">
        <v>24</v>
      </c>
      <c r="AA1" s="1" t="s">
        <v>25</v>
      </c>
      <c r="AB1" s="1" t="s">
        <v>26</v>
      </c>
      <c r="AC1" s="1" t="s">
        <v>27</v>
      </c>
      <c r="AD1" s="1" t="s">
        <v>28</v>
      </c>
      <c r="AE1" s="1" t="s">
        <v>29</v>
      </c>
      <c r="AF1" s="1" t="s">
        <v>30</v>
      </c>
      <c r="AG1" s="1" t="s">
        <v>31</v>
      </c>
      <c r="AH1" s="1" t="s">
        <v>32</v>
      </c>
      <c r="AI1" s="3" t="s">
        <v>2169</v>
      </c>
      <c r="AJ1" s="3" t="s">
        <v>2170</v>
      </c>
      <c r="AK1" s="3" t="s">
        <v>2182</v>
      </c>
      <c r="AL1" s="3" t="s">
        <v>2183</v>
      </c>
      <c r="AM1" s="3" t="s">
        <v>2185</v>
      </c>
      <c r="AN1" s="3" t="s">
        <v>2184</v>
      </c>
      <c r="AO1" s="3" t="s">
        <v>2181</v>
      </c>
      <c r="AP1" s="3" t="s">
        <v>2186</v>
      </c>
      <c r="AQ1" s="3" t="s">
        <v>2187</v>
      </c>
      <c r="AR1" s="3" t="s">
        <v>2216</v>
      </c>
      <c r="AS1" s="3" t="s">
        <v>2229</v>
      </c>
      <c r="AT1" s="3"/>
      <c r="AU1" s="3"/>
    </row>
    <row r="2" spans="1:47" x14ac:dyDescent="0.3">
      <c r="A2" s="1">
        <v>0</v>
      </c>
      <c r="B2" s="2" t="s">
        <v>33</v>
      </c>
      <c r="C2" t="s">
        <v>206</v>
      </c>
      <c r="D2">
        <v>2016</v>
      </c>
      <c r="E2">
        <v>97</v>
      </c>
      <c r="F2">
        <v>2</v>
      </c>
      <c r="G2" t="s">
        <v>561</v>
      </c>
      <c r="H2" t="s">
        <v>562</v>
      </c>
      <c r="I2" t="s">
        <v>884</v>
      </c>
      <c r="J2" t="s">
        <v>1193</v>
      </c>
      <c r="K2" t="s">
        <v>1425</v>
      </c>
      <c r="Z2" s="21" t="s">
        <v>2166</v>
      </c>
      <c r="AA2" s="22" t="s">
        <v>2167</v>
      </c>
      <c r="AI2">
        <f>COUNTIF(Z2:AH2,"f")</f>
        <v>1</v>
      </c>
      <c r="AJ2">
        <f>COUNTIF(Z2:AI2,"m")</f>
        <v>0</v>
      </c>
      <c r="AK2">
        <f ca="1">CountCellsByColor(Z2:AH2,$Z$2)</f>
        <v>1</v>
      </c>
      <c r="AL2">
        <f ca="1">CountCellsByColor(Z2:AH2,$Z$4)</f>
        <v>0</v>
      </c>
      <c r="AM2">
        <f ca="1">CountCellsByColor(Z2:AH2,$Z$3)</f>
        <v>1</v>
      </c>
      <c r="AN2">
        <f ca="1">IF(AK2=F2,1,0)</f>
        <v>0</v>
      </c>
      <c r="AO2">
        <f ca="1">IF(AL2=F2,1,0)</f>
        <v>0</v>
      </c>
      <c r="AP2">
        <f ca="1">IF(AM2&gt;=1,1,0)</f>
        <v>1</v>
      </c>
      <c r="AQ2">
        <f ca="1">IF(AND(AN2=0, AO2=0),1,0)</f>
        <v>1</v>
      </c>
      <c r="AR2">
        <f ca="1">IF(AK2=1, 1/F2, IF(AK2 = 2, (1/F2)*(2/F2), IF(AK2 = 3, (1/F2)*(2/F2)*(3/F2), IF(AK2 = 4, (1/F2)*(2/F2)*(3/F2)*(4/F2),IF(AK2 = 5, (1/F2)*(2/F2)*(3/F2)*(4/F2)*(5/F2),IF(AK2 = 6, (1/F2)*(2/F2)*(3/F2)*(4/F2)*(5/F2)*(6/F2), 0))))))</f>
        <v>0.5</v>
      </c>
      <c r="AS2">
        <f>1/E2</f>
        <v>1.0309278350515464E-2</v>
      </c>
    </row>
    <row r="3" spans="1:47" x14ac:dyDescent="0.3">
      <c r="A3" s="1">
        <v>1</v>
      </c>
      <c r="B3" s="2" t="s">
        <v>34</v>
      </c>
      <c r="C3" t="s">
        <v>207</v>
      </c>
      <c r="D3">
        <v>2017</v>
      </c>
      <c r="E3">
        <v>74</v>
      </c>
      <c r="F3">
        <v>1</v>
      </c>
      <c r="G3" t="s">
        <v>561</v>
      </c>
      <c r="H3" t="s">
        <v>563</v>
      </c>
      <c r="I3" t="s">
        <v>885</v>
      </c>
      <c r="Z3" s="22" t="s">
        <v>2167</v>
      </c>
      <c r="AI3">
        <f t="shared" ref="AI3:AI66" si="0">COUNTIF(Z3:AH3,"f")</f>
        <v>0</v>
      </c>
      <c r="AJ3">
        <f t="shared" ref="AJ3:AJ66" si="1">COUNTIF(Z3:AI3,"m")</f>
        <v>0</v>
      </c>
      <c r="AK3">
        <f t="shared" ref="AK3:AK66" ca="1" si="2">CountCellsByColor(Z3:AH3,$Z$2)</f>
        <v>0</v>
      </c>
      <c r="AL3">
        <f t="shared" ref="AL3:AL66" ca="1" si="3">CountCellsByColor(Z3:AH3,$Z$4)</f>
        <v>0</v>
      </c>
      <c r="AM3">
        <f t="shared" ref="AM3:AM66" ca="1" si="4">CountCellsByColor(Z3:AH3,$Z$3)</f>
        <v>1</v>
      </c>
      <c r="AN3">
        <f t="shared" ref="AN3:AN66" ca="1" si="5">IF(AK3=F3,1,0)</f>
        <v>0</v>
      </c>
      <c r="AO3">
        <f t="shared" ref="AO3:AO66" ca="1" si="6">IF(AL3=F3,1,0)</f>
        <v>0</v>
      </c>
      <c r="AP3">
        <f t="shared" ref="AP3:AP66" ca="1" si="7">IF(AM3&gt;=1,1,0)</f>
        <v>1</v>
      </c>
      <c r="AQ3">
        <f t="shared" ref="AQ3:AQ66" ca="1" si="8">IF(AND(AN3=0, AO3=0),1,0)</f>
        <v>1</v>
      </c>
      <c r="AR3">
        <f t="shared" ref="AR3:AR66" ca="1" si="9">IF(AK3=1, 1/F3, IF(AK3 = 2, (1/F3)*(2/F3), IF(AK3 = 3, (1/F3)*(2/F3)*(3/F3), IF(AK3 = 4, (1/F3)*(2/F3)*(3/F3)*(4/F3),IF(AK3 = 5, (1/F3)*(2/F3)*(3/F3)*(4/F3)*(5/F3),IF(AK3 = 6, (1/F3)*(2/F3)*(3/F3)*(4/F3)*(5/F3)*(6/F3), 0))))))</f>
        <v>0</v>
      </c>
      <c r="AS3">
        <f t="shared" ref="AS3:AS66" si="10">1/E3</f>
        <v>1.3513513513513514E-2</v>
      </c>
    </row>
    <row r="4" spans="1:47" x14ac:dyDescent="0.3">
      <c r="A4" s="1">
        <v>2</v>
      </c>
      <c r="B4" s="2" t="s">
        <v>35</v>
      </c>
      <c r="C4" t="s">
        <v>208</v>
      </c>
      <c r="D4">
        <v>2017</v>
      </c>
      <c r="E4">
        <v>45</v>
      </c>
      <c r="F4">
        <v>2</v>
      </c>
      <c r="G4" t="s">
        <v>561</v>
      </c>
      <c r="H4" t="s">
        <v>564</v>
      </c>
      <c r="I4" t="s">
        <v>886</v>
      </c>
      <c r="J4" t="s">
        <v>1194</v>
      </c>
      <c r="K4" t="s">
        <v>1426</v>
      </c>
      <c r="Z4" s="23" t="s">
        <v>2168</v>
      </c>
      <c r="AA4" s="23" t="s">
        <v>2168</v>
      </c>
      <c r="AI4">
        <f t="shared" si="0"/>
        <v>0</v>
      </c>
      <c r="AJ4">
        <f t="shared" si="1"/>
        <v>2</v>
      </c>
      <c r="AK4">
        <f t="shared" ca="1" si="2"/>
        <v>0</v>
      </c>
      <c r="AL4">
        <f t="shared" ca="1" si="3"/>
        <v>2</v>
      </c>
      <c r="AM4">
        <f t="shared" ca="1" si="4"/>
        <v>0</v>
      </c>
      <c r="AN4">
        <f t="shared" ca="1" si="5"/>
        <v>0</v>
      </c>
      <c r="AO4">
        <f t="shared" ca="1" si="6"/>
        <v>1</v>
      </c>
      <c r="AP4">
        <f t="shared" ca="1" si="7"/>
        <v>0</v>
      </c>
      <c r="AQ4">
        <f t="shared" ca="1" si="8"/>
        <v>0</v>
      </c>
      <c r="AR4">
        <f t="shared" ca="1" si="9"/>
        <v>0</v>
      </c>
      <c r="AS4">
        <f t="shared" si="10"/>
        <v>2.2222222222222223E-2</v>
      </c>
    </row>
    <row r="5" spans="1:47" x14ac:dyDescent="0.3">
      <c r="A5" s="1">
        <v>4</v>
      </c>
      <c r="B5" s="2" t="s">
        <v>36</v>
      </c>
      <c r="C5" t="s">
        <v>209</v>
      </c>
      <c r="D5">
        <v>2019</v>
      </c>
      <c r="E5">
        <v>37</v>
      </c>
      <c r="F5">
        <v>3</v>
      </c>
      <c r="G5" t="s">
        <v>561</v>
      </c>
      <c r="H5" t="s">
        <v>565</v>
      </c>
      <c r="I5" t="s">
        <v>887</v>
      </c>
      <c r="J5" t="s">
        <v>665</v>
      </c>
      <c r="K5" t="s">
        <v>987</v>
      </c>
      <c r="L5" t="s">
        <v>1638</v>
      </c>
      <c r="M5" t="s">
        <v>1793</v>
      </c>
      <c r="Z5" s="23" t="s">
        <v>2168</v>
      </c>
      <c r="AA5" s="23" t="s">
        <v>2168</v>
      </c>
      <c r="AB5" s="23" t="s">
        <v>2168</v>
      </c>
      <c r="AI5">
        <f t="shared" si="0"/>
        <v>0</v>
      </c>
      <c r="AJ5">
        <f t="shared" si="1"/>
        <v>3</v>
      </c>
      <c r="AK5">
        <f t="shared" ca="1" si="2"/>
        <v>0</v>
      </c>
      <c r="AL5">
        <f t="shared" ca="1" si="3"/>
        <v>3</v>
      </c>
      <c r="AM5">
        <f t="shared" ca="1" si="4"/>
        <v>0</v>
      </c>
      <c r="AN5">
        <f t="shared" ca="1" si="5"/>
        <v>0</v>
      </c>
      <c r="AO5">
        <f t="shared" ca="1" si="6"/>
        <v>1</v>
      </c>
      <c r="AP5">
        <f t="shared" ca="1" si="7"/>
        <v>0</v>
      </c>
      <c r="AQ5">
        <f t="shared" ca="1" si="8"/>
        <v>0</v>
      </c>
      <c r="AR5">
        <f t="shared" ca="1" si="9"/>
        <v>0</v>
      </c>
      <c r="AS5">
        <f t="shared" si="10"/>
        <v>2.7027027027027029E-2</v>
      </c>
    </row>
    <row r="6" spans="1:47" x14ac:dyDescent="0.3">
      <c r="A6" s="1">
        <v>5</v>
      </c>
      <c r="B6" s="2" t="s">
        <v>37</v>
      </c>
      <c r="C6" t="s">
        <v>210</v>
      </c>
      <c r="D6">
        <v>2019</v>
      </c>
      <c r="E6">
        <v>35</v>
      </c>
      <c r="F6">
        <v>3</v>
      </c>
      <c r="G6" t="s">
        <v>561</v>
      </c>
      <c r="H6" t="s">
        <v>566</v>
      </c>
      <c r="I6" t="s">
        <v>888</v>
      </c>
      <c r="J6" t="s">
        <v>1195</v>
      </c>
      <c r="K6" t="s">
        <v>1427</v>
      </c>
      <c r="L6" t="s">
        <v>1639</v>
      </c>
      <c r="M6" t="s">
        <v>1794</v>
      </c>
      <c r="Z6" s="23" t="s">
        <v>2168</v>
      </c>
      <c r="AA6" s="21" t="s">
        <v>2166</v>
      </c>
      <c r="AB6" s="21" t="s">
        <v>2166</v>
      </c>
      <c r="AI6">
        <f t="shared" si="0"/>
        <v>2</v>
      </c>
      <c r="AJ6">
        <f t="shared" si="1"/>
        <v>1</v>
      </c>
      <c r="AK6">
        <f t="shared" ca="1" si="2"/>
        <v>2</v>
      </c>
      <c r="AL6">
        <f t="shared" ca="1" si="3"/>
        <v>1</v>
      </c>
      <c r="AM6">
        <f t="shared" ca="1" si="4"/>
        <v>0</v>
      </c>
      <c r="AN6">
        <f t="shared" ca="1" si="5"/>
        <v>0</v>
      </c>
      <c r="AO6">
        <f t="shared" ca="1" si="6"/>
        <v>0</v>
      </c>
      <c r="AP6">
        <f t="shared" ca="1" si="7"/>
        <v>0</v>
      </c>
      <c r="AQ6">
        <f t="shared" ca="1" si="8"/>
        <v>1</v>
      </c>
      <c r="AR6">
        <f t="shared" ca="1" si="9"/>
        <v>0.22222222222222221</v>
      </c>
      <c r="AS6">
        <f t="shared" si="10"/>
        <v>2.8571428571428571E-2</v>
      </c>
    </row>
    <row r="7" spans="1:47" x14ac:dyDescent="0.3">
      <c r="A7" s="1">
        <v>6</v>
      </c>
      <c r="B7" s="2" t="s">
        <v>38</v>
      </c>
      <c r="C7" t="s">
        <v>211</v>
      </c>
      <c r="D7">
        <v>2016</v>
      </c>
      <c r="E7">
        <v>33</v>
      </c>
      <c r="F7">
        <v>3</v>
      </c>
      <c r="G7" t="s">
        <v>561</v>
      </c>
      <c r="H7" t="s">
        <v>567</v>
      </c>
      <c r="I7" t="s">
        <v>889</v>
      </c>
      <c r="J7" t="s">
        <v>1196</v>
      </c>
      <c r="K7" t="s">
        <v>1428</v>
      </c>
      <c r="L7" t="s">
        <v>1640</v>
      </c>
      <c r="M7" t="s">
        <v>1795</v>
      </c>
      <c r="Z7" s="23" t="s">
        <v>2168</v>
      </c>
      <c r="AA7" s="23" t="s">
        <v>2168</v>
      </c>
      <c r="AB7" s="23" t="s">
        <v>2168</v>
      </c>
      <c r="AI7">
        <f t="shared" si="0"/>
        <v>0</v>
      </c>
      <c r="AJ7">
        <f t="shared" si="1"/>
        <v>3</v>
      </c>
      <c r="AK7">
        <f t="shared" ca="1" si="2"/>
        <v>0</v>
      </c>
      <c r="AL7">
        <f t="shared" ca="1" si="3"/>
        <v>3</v>
      </c>
      <c r="AM7">
        <f t="shared" ca="1" si="4"/>
        <v>0</v>
      </c>
      <c r="AN7">
        <f t="shared" ca="1" si="5"/>
        <v>0</v>
      </c>
      <c r="AO7">
        <f t="shared" ca="1" si="6"/>
        <v>1</v>
      </c>
      <c r="AP7">
        <f t="shared" ca="1" si="7"/>
        <v>0</v>
      </c>
      <c r="AQ7">
        <f t="shared" ca="1" si="8"/>
        <v>0</v>
      </c>
      <c r="AR7">
        <f t="shared" ca="1" si="9"/>
        <v>0</v>
      </c>
      <c r="AS7">
        <f t="shared" si="10"/>
        <v>3.0303030303030304E-2</v>
      </c>
    </row>
    <row r="8" spans="1:47" x14ac:dyDescent="0.3">
      <c r="A8" s="1">
        <v>7</v>
      </c>
      <c r="B8" s="2" t="s">
        <v>39</v>
      </c>
      <c r="C8" t="s">
        <v>212</v>
      </c>
      <c r="D8">
        <v>2015</v>
      </c>
      <c r="E8">
        <v>28</v>
      </c>
      <c r="F8">
        <v>1</v>
      </c>
      <c r="G8" t="s">
        <v>561</v>
      </c>
      <c r="H8" t="s">
        <v>568</v>
      </c>
      <c r="I8" t="s">
        <v>890</v>
      </c>
      <c r="Z8" s="23" t="s">
        <v>2168</v>
      </c>
      <c r="AI8">
        <f t="shared" si="0"/>
        <v>0</v>
      </c>
      <c r="AJ8">
        <f t="shared" si="1"/>
        <v>1</v>
      </c>
      <c r="AK8">
        <f t="shared" ca="1" si="2"/>
        <v>0</v>
      </c>
      <c r="AL8">
        <f t="shared" ca="1" si="3"/>
        <v>1</v>
      </c>
      <c r="AM8">
        <f t="shared" ca="1" si="4"/>
        <v>0</v>
      </c>
      <c r="AN8">
        <f t="shared" ca="1" si="5"/>
        <v>0</v>
      </c>
      <c r="AO8">
        <f t="shared" ca="1" si="6"/>
        <v>1</v>
      </c>
      <c r="AP8">
        <f t="shared" ca="1" si="7"/>
        <v>0</v>
      </c>
      <c r="AQ8">
        <f t="shared" ca="1" si="8"/>
        <v>0</v>
      </c>
      <c r="AR8">
        <f t="shared" ca="1" si="9"/>
        <v>0</v>
      </c>
      <c r="AS8">
        <f t="shared" si="10"/>
        <v>3.5714285714285712E-2</v>
      </c>
    </row>
    <row r="9" spans="1:47" x14ac:dyDescent="0.3">
      <c r="A9" s="1">
        <v>8</v>
      </c>
      <c r="B9" s="2" t="s">
        <v>40</v>
      </c>
      <c r="C9" t="s">
        <v>213</v>
      </c>
      <c r="D9">
        <v>2018</v>
      </c>
      <c r="E9">
        <v>26</v>
      </c>
      <c r="F9">
        <v>3</v>
      </c>
      <c r="G9" t="s">
        <v>561</v>
      </c>
      <c r="H9" t="s">
        <v>569</v>
      </c>
      <c r="I9" t="s">
        <v>891</v>
      </c>
      <c r="J9" t="s">
        <v>1197</v>
      </c>
      <c r="K9" t="s">
        <v>1429</v>
      </c>
      <c r="L9" t="s">
        <v>1641</v>
      </c>
      <c r="M9" t="s">
        <v>1796</v>
      </c>
      <c r="Z9" s="21" t="s">
        <v>2166</v>
      </c>
      <c r="AA9" s="21" t="s">
        <v>2166</v>
      </c>
      <c r="AB9" s="23" t="s">
        <v>2168</v>
      </c>
      <c r="AI9">
        <f t="shared" si="0"/>
        <v>2</v>
      </c>
      <c r="AJ9">
        <f t="shared" si="1"/>
        <v>1</v>
      </c>
      <c r="AK9">
        <f t="shared" ca="1" si="2"/>
        <v>2</v>
      </c>
      <c r="AL9">
        <f t="shared" ca="1" si="3"/>
        <v>1</v>
      </c>
      <c r="AM9">
        <f t="shared" ca="1" si="4"/>
        <v>0</v>
      </c>
      <c r="AN9">
        <f t="shared" ca="1" si="5"/>
        <v>0</v>
      </c>
      <c r="AO9">
        <f t="shared" ca="1" si="6"/>
        <v>0</v>
      </c>
      <c r="AP9">
        <f t="shared" ca="1" si="7"/>
        <v>0</v>
      </c>
      <c r="AQ9">
        <f t="shared" ca="1" si="8"/>
        <v>1</v>
      </c>
      <c r="AR9">
        <f t="shared" ca="1" si="9"/>
        <v>0.22222222222222221</v>
      </c>
      <c r="AS9">
        <f t="shared" si="10"/>
        <v>3.8461538461538464E-2</v>
      </c>
    </row>
    <row r="10" spans="1:47" x14ac:dyDescent="0.3">
      <c r="A10" s="1">
        <v>9</v>
      </c>
      <c r="B10" s="2" t="s">
        <v>41</v>
      </c>
      <c r="C10" t="s">
        <v>214</v>
      </c>
      <c r="D10">
        <v>2015</v>
      </c>
      <c r="E10">
        <v>25</v>
      </c>
      <c r="F10">
        <v>3</v>
      </c>
      <c r="G10" t="s">
        <v>561</v>
      </c>
      <c r="H10" t="s">
        <v>570</v>
      </c>
      <c r="I10" t="s">
        <v>892</v>
      </c>
      <c r="J10" t="s">
        <v>1198</v>
      </c>
      <c r="K10" t="s">
        <v>1430</v>
      </c>
      <c r="L10" t="s">
        <v>1642</v>
      </c>
      <c r="M10" t="s">
        <v>1797</v>
      </c>
      <c r="Z10" s="23" t="s">
        <v>2168</v>
      </c>
      <c r="AA10" s="21" t="s">
        <v>2166</v>
      </c>
      <c r="AB10" s="21" t="s">
        <v>2166</v>
      </c>
      <c r="AI10">
        <f t="shared" si="0"/>
        <v>2</v>
      </c>
      <c r="AJ10">
        <f t="shared" si="1"/>
        <v>1</v>
      </c>
      <c r="AK10">
        <f t="shared" ca="1" si="2"/>
        <v>2</v>
      </c>
      <c r="AL10">
        <f t="shared" ca="1" si="3"/>
        <v>1</v>
      </c>
      <c r="AM10">
        <f t="shared" ca="1" si="4"/>
        <v>0</v>
      </c>
      <c r="AN10">
        <f t="shared" ca="1" si="5"/>
        <v>0</v>
      </c>
      <c r="AO10">
        <f t="shared" ca="1" si="6"/>
        <v>0</v>
      </c>
      <c r="AP10">
        <f t="shared" ca="1" si="7"/>
        <v>0</v>
      </c>
      <c r="AQ10">
        <f t="shared" ca="1" si="8"/>
        <v>1</v>
      </c>
      <c r="AR10">
        <f t="shared" ca="1" si="9"/>
        <v>0.22222222222222221</v>
      </c>
      <c r="AS10">
        <f t="shared" si="10"/>
        <v>0.04</v>
      </c>
    </row>
    <row r="11" spans="1:47" x14ac:dyDescent="0.3">
      <c r="A11" s="1">
        <v>10</v>
      </c>
      <c r="B11" s="2" t="s">
        <v>42</v>
      </c>
      <c r="C11" t="s">
        <v>215</v>
      </c>
      <c r="D11">
        <v>2017</v>
      </c>
      <c r="E11">
        <v>25</v>
      </c>
      <c r="F11">
        <v>1</v>
      </c>
      <c r="G11" t="s">
        <v>561</v>
      </c>
      <c r="H11" t="s">
        <v>571</v>
      </c>
      <c r="I11" t="s">
        <v>893</v>
      </c>
      <c r="Z11" s="21" t="s">
        <v>2166</v>
      </c>
      <c r="AI11">
        <f t="shared" si="0"/>
        <v>1</v>
      </c>
      <c r="AJ11">
        <f t="shared" si="1"/>
        <v>0</v>
      </c>
      <c r="AK11">
        <f t="shared" ca="1" si="2"/>
        <v>1</v>
      </c>
      <c r="AL11">
        <f t="shared" ca="1" si="3"/>
        <v>0</v>
      </c>
      <c r="AM11">
        <f t="shared" ca="1" si="4"/>
        <v>0</v>
      </c>
      <c r="AN11">
        <f t="shared" ca="1" si="5"/>
        <v>1</v>
      </c>
      <c r="AO11">
        <f t="shared" ca="1" si="6"/>
        <v>0</v>
      </c>
      <c r="AP11">
        <f t="shared" ca="1" si="7"/>
        <v>0</v>
      </c>
      <c r="AQ11">
        <f t="shared" ca="1" si="8"/>
        <v>0</v>
      </c>
      <c r="AR11">
        <f t="shared" ca="1" si="9"/>
        <v>1</v>
      </c>
      <c r="AS11">
        <f t="shared" si="10"/>
        <v>0.04</v>
      </c>
    </row>
    <row r="12" spans="1:47" x14ac:dyDescent="0.3">
      <c r="A12" s="1">
        <v>11</v>
      </c>
      <c r="B12" s="2" t="s">
        <v>43</v>
      </c>
      <c r="C12" t="s">
        <v>216</v>
      </c>
      <c r="D12">
        <v>2018</v>
      </c>
      <c r="E12">
        <v>25</v>
      </c>
      <c r="F12">
        <v>4</v>
      </c>
      <c r="G12" t="s">
        <v>561</v>
      </c>
      <c r="H12" t="s">
        <v>572</v>
      </c>
      <c r="I12" t="s">
        <v>894</v>
      </c>
      <c r="J12" t="s">
        <v>1199</v>
      </c>
      <c r="K12" t="s">
        <v>1431</v>
      </c>
      <c r="L12" t="s">
        <v>1643</v>
      </c>
      <c r="M12" t="s">
        <v>1798</v>
      </c>
      <c r="N12" t="s">
        <v>1937</v>
      </c>
      <c r="O12" t="s">
        <v>1997</v>
      </c>
      <c r="Z12" s="21" t="s">
        <v>2166</v>
      </c>
      <c r="AA12" s="21" t="s">
        <v>2166</v>
      </c>
      <c r="AB12" s="21" t="s">
        <v>2166</v>
      </c>
      <c r="AC12" s="23" t="s">
        <v>2168</v>
      </c>
      <c r="AI12">
        <f t="shared" si="0"/>
        <v>3</v>
      </c>
      <c r="AJ12">
        <f t="shared" si="1"/>
        <v>1</v>
      </c>
      <c r="AK12">
        <f t="shared" ca="1" si="2"/>
        <v>3</v>
      </c>
      <c r="AL12">
        <f t="shared" ca="1" si="3"/>
        <v>1</v>
      </c>
      <c r="AM12">
        <f t="shared" ca="1" si="4"/>
        <v>0</v>
      </c>
      <c r="AN12">
        <f t="shared" ca="1" si="5"/>
        <v>0</v>
      </c>
      <c r="AO12">
        <f t="shared" ca="1" si="6"/>
        <v>0</v>
      </c>
      <c r="AP12">
        <f t="shared" ca="1" si="7"/>
        <v>0</v>
      </c>
      <c r="AQ12">
        <f t="shared" ca="1" si="8"/>
        <v>1</v>
      </c>
      <c r="AR12">
        <f t="shared" ca="1" si="9"/>
        <v>9.375E-2</v>
      </c>
      <c r="AS12">
        <f t="shared" si="10"/>
        <v>0.04</v>
      </c>
    </row>
    <row r="13" spans="1:47" x14ac:dyDescent="0.3">
      <c r="A13" s="1">
        <v>12</v>
      </c>
      <c r="B13" s="2" t="s">
        <v>44</v>
      </c>
      <c r="C13" t="s">
        <v>217</v>
      </c>
      <c r="D13">
        <v>2016</v>
      </c>
      <c r="E13">
        <v>24</v>
      </c>
      <c r="F13">
        <v>3</v>
      </c>
      <c r="G13" t="s">
        <v>561</v>
      </c>
      <c r="H13" t="s">
        <v>573</v>
      </c>
      <c r="I13" t="s">
        <v>895</v>
      </c>
      <c r="J13" t="s">
        <v>1200</v>
      </c>
      <c r="K13" t="s">
        <v>1432</v>
      </c>
      <c r="L13" t="s">
        <v>1644</v>
      </c>
      <c r="M13" t="s">
        <v>1799</v>
      </c>
      <c r="Z13" s="21" t="s">
        <v>2166</v>
      </c>
      <c r="AA13" s="21" t="s">
        <v>2166</v>
      </c>
      <c r="AB13" s="23" t="s">
        <v>2168</v>
      </c>
      <c r="AI13">
        <f t="shared" si="0"/>
        <v>2</v>
      </c>
      <c r="AJ13">
        <f t="shared" si="1"/>
        <v>1</v>
      </c>
      <c r="AK13">
        <f t="shared" ca="1" si="2"/>
        <v>2</v>
      </c>
      <c r="AL13">
        <f t="shared" ca="1" si="3"/>
        <v>1</v>
      </c>
      <c r="AM13">
        <f t="shared" ca="1" si="4"/>
        <v>0</v>
      </c>
      <c r="AN13">
        <f t="shared" ca="1" si="5"/>
        <v>0</v>
      </c>
      <c r="AO13">
        <f t="shared" ca="1" si="6"/>
        <v>0</v>
      </c>
      <c r="AP13">
        <f t="shared" ca="1" si="7"/>
        <v>0</v>
      </c>
      <c r="AQ13">
        <f t="shared" ca="1" si="8"/>
        <v>1</v>
      </c>
      <c r="AR13">
        <f t="shared" ca="1" si="9"/>
        <v>0.22222222222222221</v>
      </c>
      <c r="AS13">
        <f t="shared" si="10"/>
        <v>4.1666666666666664E-2</v>
      </c>
    </row>
    <row r="14" spans="1:47" x14ac:dyDescent="0.3">
      <c r="A14" s="1">
        <v>13</v>
      </c>
      <c r="B14" s="2" t="s">
        <v>45</v>
      </c>
      <c r="C14" t="s">
        <v>218</v>
      </c>
      <c r="D14">
        <v>2020</v>
      </c>
      <c r="E14">
        <v>24</v>
      </c>
      <c r="F14">
        <v>4</v>
      </c>
      <c r="G14" t="s">
        <v>561</v>
      </c>
      <c r="H14" t="s">
        <v>574</v>
      </c>
      <c r="I14" t="s">
        <v>896</v>
      </c>
      <c r="J14" t="s">
        <v>1201</v>
      </c>
      <c r="K14" t="s">
        <v>1433</v>
      </c>
      <c r="L14" t="s">
        <v>1645</v>
      </c>
      <c r="M14" t="s">
        <v>1800</v>
      </c>
      <c r="N14" t="s">
        <v>1669</v>
      </c>
      <c r="O14" t="s">
        <v>1822</v>
      </c>
      <c r="Z14" s="23" t="s">
        <v>2168</v>
      </c>
      <c r="AA14" s="22" t="s">
        <v>2167</v>
      </c>
      <c r="AB14" s="23" t="s">
        <v>2168</v>
      </c>
      <c r="AC14" s="23" t="s">
        <v>2168</v>
      </c>
      <c r="AI14">
        <f t="shared" si="0"/>
        <v>0</v>
      </c>
      <c r="AJ14">
        <f t="shared" si="1"/>
        <v>3</v>
      </c>
      <c r="AK14">
        <f t="shared" ca="1" si="2"/>
        <v>0</v>
      </c>
      <c r="AL14">
        <f t="shared" ca="1" si="3"/>
        <v>3</v>
      </c>
      <c r="AM14">
        <f t="shared" ca="1" si="4"/>
        <v>1</v>
      </c>
      <c r="AN14">
        <f t="shared" ca="1" si="5"/>
        <v>0</v>
      </c>
      <c r="AO14">
        <f t="shared" ca="1" si="6"/>
        <v>0</v>
      </c>
      <c r="AP14">
        <f t="shared" ca="1" si="7"/>
        <v>1</v>
      </c>
      <c r="AQ14">
        <f t="shared" ca="1" si="8"/>
        <v>1</v>
      </c>
      <c r="AR14">
        <f t="shared" ca="1" si="9"/>
        <v>0</v>
      </c>
      <c r="AS14">
        <f t="shared" si="10"/>
        <v>4.1666666666666664E-2</v>
      </c>
    </row>
    <row r="15" spans="1:47" x14ac:dyDescent="0.3">
      <c r="A15" s="1">
        <v>15</v>
      </c>
      <c r="B15" s="2" t="s">
        <v>46</v>
      </c>
      <c r="C15" t="s">
        <v>219</v>
      </c>
      <c r="D15">
        <v>2019</v>
      </c>
      <c r="E15">
        <v>23</v>
      </c>
      <c r="F15">
        <v>9</v>
      </c>
      <c r="G15" t="s">
        <v>561</v>
      </c>
      <c r="H15" t="s">
        <v>575</v>
      </c>
      <c r="I15" t="s">
        <v>897</v>
      </c>
      <c r="J15" t="s">
        <v>1202</v>
      </c>
      <c r="K15" t="s">
        <v>1434</v>
      </c>
      <c r="L15" t="s">
        <v>1646</v>
      </c>
      <c r="M15" t="s">
        <v>1801</v>
      </c>
      <c r="N15" t="s">
        <v>610</v>
      </c>
      <c r="O15" t="s">
        <v>932</v>
      </c>
      <c r="P15" t="s">
        <v>612</v>
      </c>
      <c r="Q15" t="s">
        <v>934</v>
      </c>
      <c r="R15" t="s">
        <v>2104</v>
      </c>
      <c r="S15" t="s">
        <v>2122</v>
      </c>
      <c r="T15" t="s">
        <v>2135</v>
      </c>
      <c r="U15" t="s">
        <v>2143</v>
      </c>
      <c r="V15" t="s">
        <v>2150</v>
      </c>
      <c r="W15" t="s">
        <v>2154</v>
      </c>
      <c r="X15" t="s">
        <v>2158</v>
      </c>
      <c r="Y15" t="s">
        <v>2162</v>
      </c>
      <c r="Z15" s="21" t="s">
        <v>2166</v>
      </c>
      <c r="AA15" s="21" t="s">
        <v>2166</v>
      </c>
      <c r="AB15" s="21" t="s">
        <v>2166</v>
      </c>
      <c r="AC15" s="21" t="s">
        <v>2166</v>
      </c>
      <c r="AD15" s="23" t="s">
        <v>2168</v>
      </c>
      <c r="AE15" s="22" t="s">
        <v>2167</v>
      </c>
      <c r="AF15" s="23" t="s">
        <v>2168</v>
      </c>
      <c r="AG15" s="21" t="s">
        <v>2166</v>
      </c>
      <c r="AH15" s="21" t="s">
        <v>2166</v>
      </c>
      <c r="AI15">
        <f t="shared" si="0"/>
        <v>6</v>
      </c>
      <c r="AJ15">
        <f t="shared" si="1"/>
        <v>2</v>
      </c>
      <c r="AK15">
        <f t="shared" ca="1" si="2"/>
        <v>6</v>
      </c>
      <c r="AL15">
        <f t="shared" ca="1" si="3"/>
        <v>2</v>
      </c>
      <c r="AM15">
        <f t="shared" ca="1" si="4"/>
        <v>1</v>
      </c>
      <c r="AN15">
        <f t="shared" ca="1" si="5"/>
        <v>0</v>
      </c>
      <c r="AO15">
        <f t="shared" ca="1" si="6"/>
        <v>0</v>
      </c>
      <c r="AP15">
        <f t="shared" ca="1" si="7"/>
        <v>1</v>
      </c>
      <c r="AQ15">
        <f t="shared" ca="1" si="8"/>
        <v>1</v>
      </c>
      <c r="AR15">
        <f t="shared" ca="1" si="9"/>
        <v>1.3548070246744229E-3</v>
      </c>
      <c r="AS15">
        <f t="shared" si="10"/>
        <v>4.3478260869565216E-2</v>
      </c>
    </row>
    <row r="16" spans="1:47" x14ac:dyDescent="0.3">
      <c r="A16" s="1">
        <v>16</v>
      </c>
      <c r="B16" s="2" t="s">
        <v>47</v>
      </c>
      <c r="C16" t="s">
        <v>220</v>
      </c>
      <c r="D16">
        <v>2017</v>
      </c>
      <c r="E16">
        <v>23</v>
      </c>
      <c r="F16">
        <v>1</v>
      </c>
      <c r="G16" t="s">
        <v>561</v>
      </c>
      <c r="H16" t="s">
        <v>576</v>
      </c>
      <c r="I16" t="s">
        <v>898</v>
      </c>
      <c r="Z16" s="21" t="s">
        <v>2166</v>
      </c>
      <c r="AI16">
        <f t="shared" si="0"/>
        <v>1</v>
      </c>
      <c r="AJ16">
        <f t="shared" si="1"/>
        <v>0</v>
      </c>
      <c r="AK16">
        <f t="shared" ca="1" si="2"/>
        <v>1</v>
      </c>
      <c r="AL16">
        <f t="shared" ca="1" si="3"/>
        <v>0</v>
      </c>
      <c r="AM16">
        <f t="shared" ca="1" si="4"/>
        <v>0</v>
      </c>
      <c r="AN16">
        <f t="shared" ca="1" si="5"/>
        <v>1</v>
      </c>
      <c r="AO16">
        <f t="shared" ca="1" si="6"/>
        <v>0</v>
      </c>
      <c r="AP16">
        <f t="shared" ca="1" si="7"/>
        <v>0</v>
      </c>
      <c r="AQ16">
        <f t="shared" ca="1" si="8"/>
        <v>0</v>
      </c>
      <c r="AR16">
        <f t="shared" ca="1" si="9"/>
        <v>1</v>
      </c>
      <c r="AS16">
        <f t="shared" si="10"/>
        <v>4.3478260869565216E-2</v>
      </c>
    </row>
    <row r="17" spans="1:45" x14ac:dyDescent="0.3">
      <c r="A17" s="1">
        <v>17</v>
      </c>
      <c r="B17" s="2" t="s">
        <v>48</v>
      </c>
      <c r="C17" t="s">
        <v>221</v>
      </c>
      <c r="D17">
        <v>2019</v>
      </c>
      <c r="E17">
        <v>21</v>
      </c>
      <c r="F17">
        <v>1</v>
      </c>
      <c r="G17" t="s">
        <v>561</v>
      </c>
      <c r="H17" t="s">
        <v>577</v>
      </c>
      <c r="I17" t="s">
        <v>899</v>
      </c>
      <c r="Z17" s="21" t="s">
        <v>2166</v>
      </c>
      <c r="AI17">
        <f t="shared" si="0"/>
        <v>1</v>
      </c>
      <c r="AJ17">
        <f t="shared" si="1"/>
        <v>0</v>
      </c>
      <c r="AK17">
        <f t="shared" ca="1" si="2"/>
        <v>1</v>
      </c>
      <c r="AL17">
        <f t="shared" ca="1" si="3"/>
        <v>0</v>
      </c>
      <c r="AM17">
        <f t="shared" ca="1" si="4"/>
        <v>0</v>
      </c>
      <c r="AN17">
        <f t="shared" ca="1" si="5"/>
        <v>1</v>
      </c>
      <c r="AO17">
        <f t="shared" ca="1" si="6"/>
        <v>0</v>
      </c>
      <c r="AP17">
        <f t="shared" ca="1" si="7"/>
        <v>0</v>
      </c>
      <c r="AQ17">
        <f t="shared" ca="1" si="8"/>
        <v>0</v>
      </c>
      <c r="AR17">
        <f t="shared" ca="1" si="9"/>
        <v>1</v>
      </c>
      <c r="AS17">
        <f t="shared" si="10"/>
        <v>4.7619047619047616E-2</v>
      </c>
    </row>
    <row r="18" spans="1:45" x14ac:dyDescent="0.3">
      <c r="A18" s="1">
        <v>18</v>
      </c>
      <c r="B18" s="2" t="s">
        <v>49</v>
      </c>
      <c r="C18" t="s">
        <v>222</v>
      </c>
      <c r="D18">
        <v>2016</v>
      </c>
      <c r="E18">
        <v>20</v>
      </c>
      <c r="F18">
        <v>4</v>
      </c>
      <c r="G18" t="s">
        <v>561</v>
      </c>
      <c r="H18" t="s">
        <v>566</v>
      </c>
      <c r="I18" t="s">
        <v>888</v>
      </c>
      <c r="J18" t="s">
        <v>1195</v>
      </c>
      <c r="K18" t="s">
        <v>1427</v>
      </c>
      <c r="L18" t="s">
        <v>1647</v>
      </c>
      <c r="M18" t="s">
        <v>1802</v>
      </c>
      <c r="N18" t="s">
        <v>568</v>
      </c>
      <c r="O18" t="s">
        <v>890</v>
      </c>
      <c r="Z18" s="23" t="s">
        <v>2168</v>
      </c>
      <c r="AA18" s="21" t="s">
        <v>2166</v>
      </c>
      <c r="AB18" s="23" t="s">
        <v>2168</v>
      </c>
      <c r="AC18" s="23" t="s">
        <v>2168</v>
      </c>
      <c r="AI18">
        <f t="shared" si="0"/>
        <v>1</v>
      </c>
      <c r="AJ18">
        <f t="shared" si="1"/>
        <v>3</v>
      </c>
      <c r="AK18">
        <f t="shared" ca="1" si="2"/>
        <v>1</v>
      </c>
      <c r="AL18">
        <f t="shared" ca="1" si="3"/>
        <v>3</v>
      </c>
      <c r="AM18">
        <f t="shared" ca="1" si="4"/>
        <v>0</v>
      </c>
      <c r="AN18">
        <f t="shared" ca="1" si="5"/>
        <v>0</v>
      </c>
      <c r="AO18">
        <f t="shared" ca="1" si="6"/>
        <v>0</v>
      </c>
      <c r="AP18">
        <f t="shared" ca="1" si="7"/>
        <v>0</v>
      </c>
      <c r="AQ18">
        <f t="shared" ca="1" si="8"/>
        <v>1</v>
      </c>
      <c r="AR18">
        <f t="shared" ca="1" si="9"/>
        <v>0.25</v>
      </c>
      <c r="AS18">
        <f t="shared" si="10"/>
        <v>0.05</v>
      </c>
    </row>
    <row r="19" spans="1:45" x14ac:dyDescent="0.3">
      <c r="A19" s="1">
        <v>19</v>
      </c>
      <c r="B19" s="2" t="s">
        <v>50</v>
      </c>
      <c r="C19" t="s">
        <v>223</v>
      </c>
      <c r="D19">
        <v>2017</v>
      </c>
      <c r="E19">
        <v>18</v>
      </c>
      <c r="F19">
        <v>3</v>
      </c>
      <c r="G19" t="s">
        <v>561</v>
      </c>
      <c r="H19" t="s">
        <v>578</v>
      </c>
      <c r="I19" t="s">
        <v>900</v>
      </c>
      <c r="J19" t="s">
        <v>1203</v>
      </c>
      <c r="K19" t="s">
        <v>1435</v>
      </c>
      <c r="L19" t="s">
        <v>1648</v>
      </c>
      <c r="M19" t="s">
        <v>1803</v>
      </c>
      <c r="Z19" s="21" t="s">
        <v>2166</v>
      </c>
      <c r="AA19" s="22" t="s">
        <v>2167</v>
      </c>
      <c r="AB19" s="21" t="s">
        <v>2166</v>
      </c>
      <c r="AI19">
        <f t="shared" si="0"/>
        <v>2</v>
      </c>
      <c r="AJ19">
        <f t="shared" si="1"/>
        <v>0</v>
      </c>
      <c r="AK19">
        <f t="shared" ca="1" si="2"/>
        <v>2</v>
      </c>
      <c r="AL19">
        <f t="shared" ca="1" si="3"/>
        <v>0</v>
      </c>
      <c r="AM19">
        <f t="shared" ca="1" si="4"/>
        <v>1</v>
      </c>
      <c r="AN19">
        <f t="shared" ca="1" si="5"/>
        <v>0</v>
      </c>
      <c r="AO19">
        <f t="shared" ca="1" si="6"/>
        <v>0</v>
      </c>
      <c r="AP19">
        <f t="shared" ca="1" si="7"/>
        <v>1</v>
      </c>
      <c r="AQ19">
        <f t="shared" ca="1" si="8"/>
        <v>1</v>
      </c>
      <c r="AR19">
        <f t="shared" ca="1" si="9"/>
        <v>0.22222222222222221</v>
      </c>
      <c r="AS19">
        <f t="shared" si="10"/>
        <v>5.5555555555555552E-2</v>
      </c>
    </row>
    <row r="20" spans="1:45" x14ac:dyDescent="0.3">
      <c r="A20" s="1">
        <v>24</v>
      </c>
      <c r="B20" s="2" t="s">
        <v>51</v>
      </c>
      <c r="C20" t="s">
        <v>224</v>
      </c>
      <c r="D20">
        <v>2016</v>
      </c>
      <c r="E20">
        <v>17</v>
      </c>
      <c r="F20">
        <v>4</v>
      </c>
      <c r="G20" t="s">
        <v>561</v>
      </c>
      <c r="H20" t="s">
        <v>566</v>
      </c>
      <c r="I20" t="s">
        <v>888</v>
      </c>
      <c r="J20" t="s">
        <v>1204</v>
      </c>
      <c r="K20" t="s">
        <v>1436</v>
      </c>
      <c r="L20" t="s">
        <v>1649</v>
      </c>
      <c r="M20" t="s">
        <v>1804</v>
      </c>
      <c r="N20" t="s">
        <v>1195</v>
      </c>
      <c r="O20" t="s">
        <v>1427</v>
      </c>
      <c r="Z20" s="23" t="s">
        <v>2168</v>
      </c>
      <c r="AA20" s="23" t="s">
        <v>2168</v>
      </c>
      <c r="AB20" s="21" t="s">
        <v>2166</v>
      </c>
      <c r="AC20" s="21" t="s">
        <v>2166</v>
      </c>
      <c r="AI20">
        <f t="shared" si="0"/>
        <v>2</v>
      </c>
      <c r="AJ20">
        <f t="shared" si="1"/>
        <v>2</v>
      </c>
      <c r="AK20">
        <f t="shared" ca="1" si="2"/>
        <v>2</v>
      </c>
      <c r="AL20">
        <f t="shared" ca="1" si="3"/>
        <v>2</v>
      </c>
      <c r="AM20">
        <f t="shared" ca="1" si="4"/>
        <v>0</v>
      </c>
      <c r="AN20">
        <f t="shared" ca="1" si="5"/>
        <v>0</v>
      </c>
      <c r="AO20">
        <f t="shared" ca="1" si="6"/>
        <v>0</v>
      </c>
      <c r="AP20">
        <f t="shared" ca="1" si="7"/>
        <v>0</v>
      </c>
      <c r="AQ20">
        <f t="shared" ca="1" si="8"/>
        <v>1</v>
      </c>
      <c r="AR20">
        <f t="shared" ca="1" si="9"/>
        <v>0.125</v>
      </c>
      <c r="AS20">
        <f t="shared" si="10"/>
        <v>5.8823529411764705E-2</v>
      </c>
    </row>
    <row r="21" spans="1:45" x14ac:dyDescent="0.3">
      <c r="A21" s="1">
        <v>26</v>
      </c>
      <c r="B21" s="2" t="s">
        <v>52</v>
      </c>
      <c r="C21" t="s">
        <v>225</v>
      </c>
      <c r="D21">
        <v>2018</v>
      </c>
      <c r="E21">
        <v>16</v>
      </c>
      <c r="F21">
        <v>2</v>
      </c>
      <c r="G21" t="s">
        <v>561</v>
      </c>
      <c r="H21" t="s">
        <v>579</v>
      </c>
      <c r="I21" t="s">
        <v>901</v>
      </c>
      <c r="J21" t="s">
        <v>1205</v>
      </c>
      <c r="K21" t="s">
        <v>1437</v>
      </c>
      <c r="Z21" s="21" t="s">
        <v>2166</v>
      </c>
      <c r="AA21" s="21" t="s">
        <v>2166</v>
      </c>
      <c r="AI21">
        <f t="shared" si="0"/>
        <v>2</v>
      </c>
      <c r="AJ21">
        <f t="shared" si="1"/>
        <v>0</v>
      </c>
      <c r="AK21">
        <f t="shared" ca="1" si="2"/>
        <v>2</v>
      </c>
      <c r="AL21">
        <f t="shared" ca="1" si="3"/>
        <v>0</v>
      </c>
      <c r="AM21">
        <f t="shared" ca="1" si="4"/>
        <v>0</v>
      </c>
      <c r="AN21">
        <f t="shared" ca="1" si="5"/>
        <v>1</v>
      </c>
      <c r="AO21">
        <f t="shared" ca="1" si="6"/>
        <v>0</v>
      </c>
      <c r="AP21">
        <f t="shared" ca="1" si="7"/>
        <v>0</v>
      </c>
      <c r="AQ21">
        <f t="shared" ca="1" si="8"/>
        <v>0</v>
      </c>
      <c r="AR21">
        <f t="shared" ca="1" si="9"/>
        <v>0.5</v>
      </c>
      <c r="AS21">
        <f t="shared" si="10"/>
        <v>6.25E-2</v>
      </c>
    </row>
    <row r="22" spans="1:45" x14ac:dyDescent="0.3">
      <c r="A22" s="1">
        <v>28</v>
      </c>
      <c r="B22" s="2" t="s">
        <v>53</v>
      </c>
      <c r="C22" t="s">
        <v>226</v>
      </c>
      <c r="D22">
        <v>2016</v>
      </c>
      <c r="E22">
        <v>15</v>
      </c>
      <c r="F22">
        <v>2</v>
      </c>
      <c r="G22" t="s">
        <v>561</v>
      </c>
      <c r="H22" t="s">
        <v>580</v>
      </c>
      <c r="I22" t="s">
        <v>902</v>
      </c>
      <c r="J22" t="s">
        <v>1206</v>
      </c>
      <c r="K22" t="s">
        <v>1438</v>
      </c>
      <c r="Z22" s="21" t="s">
        <v>2166</v>
      </c>
      <c r="AA22" s="23" t="s">
        <v>2168</v>
      </c>
      <c r="AI22">
        <f t="shared" si="0"/>
        <v>1</v>
      </c>
      <c r="AJ22">
        <f t="shared" si="1"/>
        <v>1</v>
      </c>
      <c r="AK22">
        <f t="shared" ca="1" si="2"/>
        <v>1</v>
      </c>
      <c r="AL22">
        <f t="shared" ca="1" si="3"/>
        <v>1</v>
      </c>
      <c r="AM22">
        <f t="shared" ca="1" si="4"/>
        <v>0</v>
      </c>
      <c r="AN22">
        <f t="shared" ca="1" si="5"/>
        <v>0</v>
      </c>
      <c r="AO22">
        <f t="shared" ca="1" si="6"/>
        <v>0</v>
      </c>
      <c r="AP22">
        <f t="shared" ca="1" si="7"/>
        <v>0</v>
      </c>
      <c r="AQ22">
        <f t="shared" ca="1" si="8"/>
        <v>1</v>
      </c>
      <c r="AR22">
        <f t="shared" ca="1" si="9"/>
        <v>0.5</v>
      </c>
      <c r="AS22">
        <f t="shared" si="10"/>
        <v>6.6666666666666666E-2</v>
      </c>
    </row>
    <row r="23" spans="1:45" x14ac:dyDescent="0.3">
      <c r="A23" s="1">
        <v>30</v>
      </c>
      <c r="B23" s="2" t="s">
        <v>54</v>
      </c>
      <c r="C23" t="s">
        <v>227</v>
      </c>
      <c r="D23">
        <v>2016</v>
      </c>
      <c r="E23">
        <v>14</v>
      </c>
      <c r="F23">
        <v>3</v>
      </c>
      <c r="G23" t="s">
        <v>561</v>
      </c>
      <c r="H23" t="s">
        <v>581</v>
      </c>
      <c r="I23" t="s">
        <v>903</v>
      </c>
      <c r="J23" t="s">
        <v>1207</v>
      </c>
      <c r="K23" t="s">
        <v>1439</v>
      </c>
      <c r="L23" t="s">
        <v>1650</v>
      </c>
      <c r="M23" t="s">
        <v>1139</v>
      </c>
      <c r="Z23" s="21" t="s">
        <v>2166</v>
      </c>
      <c r="AA23" s="21" t="s">
        <v>2166</v>
      </c>
      <c r="AB23" s="21" t="s">
        <v>2166</v>
      </c>
      <c r="AI23">
        <f t="shared" si="0"/>
        <v>3</v>
      </c>
      <c r="AJ23">
        <f t="shared" si="1"/>
        <v>0</v>
      </c>
      <c r="AK23">
        <f t="shared" ca="1" si="2"/>
        <v>3</v>
      </c>
      <c r="AL23">
        <f t="shared" ca="1" si="3"/>
        <v>0</v>
      </c>
      <c r="AM23">
        <f t="shared" ca="1" si="4"/>
        <v>0</v>
      </c>
      <c r="AN23">
        <f t="shared" ca="1" si="5"/>
        <v>1</v>
      </c>
      <c r="AO23">
        <f t="shared" ca="1" si="6"/>
        <v>0</v>
      </c>
      <c r="AP23">
        <f t="shared" ca="1" si="7"/>
        <v>0</v>
      </c>
      <c r="AQ23">
        <f t="shared" ca="1" si="8"/>
        <v>0</v>
      </c>
      <c r="AR23">
        <f t="shared" ca="1" si="9"/>
        <v>0.22222222222222221</v>
      </c>
      <c r="AS23">
        <f t="shared" si="10"/>
        <v>7.1428571428571425E-2</v>
      </c>
    </row>
    <row r="24" spans="1:45" x14ac:dyDescent="0.3">
      <c r="A24" s="1">
        <v>31</v>
      </c>
      <c r="B24" s="2" t="s">
        <v>55</v>
      </c>
      <c r="C24" t="s">
        <v>228</v>
      </c>
      <c r="D24">
        <v>2018</v>
      </c>
      <c r="E24">
        <v>14</v>
      </c>
      <c r="F24">
        <v>3</v>
      </c>
      <c r="G24" t="s">
        <v>561</v>
      </c>
      <c r="H24" t="s">
        <v>582</v>
      </c>
      <c r="I24" t="s">
        <v>904</v>
      </c>
      <c r="J24" t="s">
        <v>1208</v>
      </c>
      <c r="K24" t="s">
        <v>1440</v>
      </c>
      <c r="L24" t="s">
        <v>1651</v>
      </c>
      <c r="M24" t="s">
        <v>1805</v>
      </c>
      <c r="Z24" s="21" t="s">
        <v>2166</v>
      </c>
      <c r="AA24" s="23" t="s">
        <v>2168</v>
      </c>
      <c r="AB24" s="23" t="s">
        <v>2168</v>
      </c>
      <c r="AI24">
        <f t="shared" si="0"/>
        <v>1</v>
      </c>
      <c r="AJ24">
        <f t="shared" si="1"/>
        <v>2</v>
      </c>
      <c r="AK24">
        <f t="shared" ca="1" si="2"/>
        <v>1</v>
      </c>
      <c r="AL24">
        <f t="shared" ca="1" si="3"/>
        <v>2</v>
      </c>
      <c r="AM24">
        <f t="shared" ca="1" si="4"/>
        <v>0</v>
      </c>
      <c r="AN24">
        <f t="shared" ca="1" si="5"/>
        <v>0</v>
      </c>
      <c r="AO24">
        <f t="shared" ca="1" si="6"/>
        <v>0</v>
      </c>
      <c r="AP24">
        <f t="shared" ca="1" si="7"/>
        <v>0</v>
      </c>
      <c r="AQ24">
        <f t="shared" ca="1" si="8"/>
        <v>1</v>
      </c>
      <c r="AR24">
        <f t="shared" ca="1" si="9"/>
        <v>0.33333333333333331</v>
      </c>
      <c r="AS24">
        <f t="shared" si="10"/>
        <v>7.1428571428571425E-2</v>
      </c>
    </row>
    <row r="25" spans="1:45" x14ac:dyDescent="0.3">
      <c r="A25" s="1">
        <v>32</v>
      </c>
      <c r="B25" s="2" t="s">
        <v>56</v>
      </c>
      <c r="C25" t="s">
        <v>229</v>
      </c>
      <c r="D25">
        <v>2018</v>
      </c>
      <c r="E25">
        <v>14</v>
      </c>
      <c r="F25">
        <v>1</v>
      </c>
      <c r="G25" t="s">
        <v>561</v>
      </c>
      <c r="H25" t="s">
        <v>583</v>
      </c>
      <c r="I25" t="s">
        <v>905</v>
      </c>
      <c r="Z25" s="23" t="s">
        <v>2168</v>
      </c>
      <c r="AI25">
        <f t="shared" si="0"/>
        <v>0</v>
      </c>
      <c r="AJ25">
        <f t="shared" si="1"/>
        <v>1</v>
      </c>
      <c r="AK25">
        <f t="shared" ca="1" si="2"/>
        <v>0</v>
      </c>
      <c r="AL25">
        <f t="shared" ca="1" si="3"/>
        <v>1</v>
      </c>
      <c r="AM25">
        <f t="shared" ca="1" si="4"/>
        <v>0</v>
      </c>
      <c r="AN25">
        <f t="shared" ca="1" si="5"/>
        <v>0</v>
      </c>
      <c r="AO25">
        <f t="shared" ca="1" si="6"/>
        <v>1</v>
      </c>
      <c r="AP25">
        <f t="shared" ca="1" si="7"/>
        <v>0</v>
      </c>
      <c r="AQ25">
        <f t="shared" ca="1" si="8"/>
        <v>0</v>
      </c>
      <c r="AR25">
        <f t="shared" ca="1" si="9"/>
        <v>0</v>
      </c>
      <c r="AS25">
        <f t="shared" si="10"/>
        <v>7.1428571428571425E-2</v>
      </c>
    </row>
    <row r="26" spans="1:45" x14ac:dyDescent="0.3">
      <c r="A26" s="1">
        <v>33</v>
      </c>
      <c r="B26" s="2" t="s">
        <v>57</v>
      </c>
      <c r="C26" t="s">
        <v>230</v>
      </c>
      <c r="D26">
        <v>2019</v>
      </c>
      <c r="E26">
        <v>14</v>
      </c>
      <c r="F26">
        <v>1</v>
      </c>
      <c r="G26" t="s">
        <v>561</v>
      </c>
      <c r="H26" t="s">
        <v>584</v>
      </c>
      <c r="I26" t="s">
        <v>906</v>
      </c>
      <c r="Z26" s="21" t="s">
        <v>2166</v>
      </c>
      <c r="AI26">
        <f t="shared" si="0"/>
        <v>1</v>
      </c>
      <c r="AJ26">
        <f t="shared" si="1"/>
        <v>0</v>
      </c>
      <c r="AK26">
        <f t="shared" ca="1" si="2"/>
        <v>1</v>
      </c>
      <c r="AL26">
        <f t="shared" ca="1" si="3"/>
        <v>0</v>
      </c>
      <c r="AM26">
        <f t="shared" ca="1" si="4"/>
        <v>0</v>
      </c>
      <c r="AN26">
        <f t="shared" ca="1" si="5"/>
        <v>1</v>
      </c>
      <c r="AO26">
        <f t="shared" ca="1" si="6"/>
        <v>0</v>
      </c>
      <c r="AP26">
        <f t="shared" ca="1" si="7"/>
        <v>0</v>
      </c>
      <c r="AQ26">
        <f t="shared" ca="1" si="8"/>
        <v>0</v>
      </c>
      <c r="AR26">
        <f t="shared" ca="1" si="9"/>
        <v>1</v>
      </c>
      <c r="AS26">
        <f t="shared" si="10"/>
        <v>7.1428571428571425E-2</v>
      </c>
    </row>
    <row r="27" spans="1:45" x14ac:dyDescent="0.3">
      <c r="A27" s="1">
        <v>34</v>
      </c>
      <c r="B27" s="2" t="s">
        <v>58</v>
      </c>
      <c r="C27" t="s">
        <v>231</v>
      </c>
      <c r="D27">
        <v>2020</v>
      </c>
      <c r="E27">
        <v>14</v>
      </c>
      <c r="F27">
        <v>2</v>
      </c>
      <c r="G27" t="s">
        <v>561</v>
      </c>
      <c r="H27" t="s">
        <v>585</v>
      </c>
      <c r="I27" t="s">
        <v>907</v>
      </c>
      <c r="J27" t="s">
        <v>1209</v>
      </c>
      <c r="K27" t="s">
        <v>1441</v>
      </c>
      <c r="Z27" s="21" t="s">
        <v>2166</v>
      </c>
      <c r="AA27" s="23" t="s">
        <v>2168</v>
      </c>
      <c r="AI27">
        <f t="shared" si="0"/>
        <v>1</v>
      </c>
      <c r="AJ27">
        <f t="shared" si="1"/>
        <v>1</v>
      </c>
      <c r="AK27">
        <f t="shared" ca="1" si="2"/>
        <v>1</v>
      </c>
      <c r="AL27">
        <f t="shared" ca="1" si="3"/>
        <v>1</v>
      </c>
      <c r="AM27">
        <f t="shared" ca="1" si="4"/>
        <v>0</v>
      </c>
      <c r="AN27">
        <f t="shared" ca="1" si="5"/>
        <v>0</v>
      </c>
      <c r="AO27">
        <f t="shared" ca="1" si="6"/>
        <v>0</v>
      </c>
      <c r="AP27">
        <f t="shared" ca="1" si="7"/>
        <v>0</v>
      </c>
      <c r="AQ27">
        <f t="shared" ca="1" si="8"/>
        <v>1</v>
      </c>
      <c r="AR27">
        <f t="shared" ca="1" si="9"/>
        <v>0.5</v>
      </c>
      <c r="AS27">
        <f t="shared" si="10"/>
        <v>7.1428571428571425E-2</v>
      </c>
    </row>
    <row r="28" spans="1:45" x14ac:dyDescent="0.3">
      <c r="A28" s="1">
        <v>36</v>
      </c>
      <c r="B28" s="2" t="s">
        <v>59</v>
      </c>
      <c r="C28" t="s">
        <v>232</v>
      </c>
      <c r="D28">
        <v>2016</v>
      </c>
      <c r="E28">
        <v>13</v>
      </c>
      <c r="F28">
        <v>4</v>
      </c>
      <c r="G28" t="s">
        <v>561</v>
      </c>
      <c r="H28" t="s">
        <v>586</v>
      </c>
      <c r="I28" t="s">
        <v>908</v>
      </c>
      <c r="J28" t="s">
        <v>1210</v>
      </c>
      <c r="K28" t="s">
        <v>1442</v>
      </c>
      <c r="L28" t="s">
        <v>1652</v>
      </c>
      <c r="M28" t="s">
        <v>1806</v>
      </c>
      <c r="N28" t="s">
        <v>1938</v>
      </c>
      <c r="O28" t="s">
        <v>1998</v>
      </c>
      <c r="Z28" s="22" t="s">
        <v>2167</v>
      </c>
      <c r="AA28" s="23" t="s">
        <v>2168</v>
      </c>
      <c r="AB28" s="21" t="s">
        <v>2166</v>
      </c>
      <c r="AC28" s="21" t="s">
        <v>2166</v>
      </c>
      <c r="AI28">
        <f t="shared" si="0"/>
        <v>2</v>
      </c>
      <c r="AJ28">
        <f t="shared" si="1"/>
        <v>1</v>
      </c>
      <c r="AK28">
        <f t="shared" ca="1" si="2"/>
        <v>2</v>
      </c>
      <c r="AL28">
        <f t="shared" ca="1" si="3"/>
        <v>1</v>
      </c>
      <c r="AM28">
        <f t="shared" ca="1" si="4"/>
        <v>1</v>
      </c>
      <c r="AN28">
        <f t="shared" ca="1" si="5"/>
        <v>0</v>
      </c>
      <c r="AO28">
        <f t="shared" ca="1" si="6"/>
        <v>0</v>
      </c>
      <c r="AP28">
        <f t="shared" ca="1" si="7"/>
        <v>1</v>
      </c>
      <c r="AQ28">
        <f t="shared" ca="1" si="8"/>
        <v>1</v>
      </c>
      <c r="AR28">
        <f t="shared" ca="1" si="9"/>
        <v>0.125</v>
      </c>
      <c r="AS28">
        <f t="shared" si="10"/>
        <v>7.6923076923076927E-2</v>
      </c>
    </row>
    <row r="29" spans="1:45" x14ac:dyDescent="0.3">
      <c r="A29" s="1">
        <v>37</v>
      </c>
      <c r="B29" s="2" t="s">
        <v>60</v>
      </c>
      <c r="C29" t="s">
        <v>233</v>
      </c>
      <c r="D29">
        <v>2016</v>
      </c>
      <c r="E29">
        <v>13</v>
      </c>
      <c r="F29">
        <v>5</v>
      </c>
      <c r="G29" t="s">
        <v>561</v>
      </c>
      <c r="H29" t="s">
        <v>587</v>
      </c>
      <c r="I29" t="s">
        <v>909</v>
      </c>
      <c r="J29" t="s">
        <v>1211</v>
      </c>
      <c r="K29" t="s">
        <v>1443</v>
      </c>
      <c r="L29" t="s">
        <v>1653</v>
      </c>
      <c r="M29" t="s">
        <v>1807</v>
      </c>
      <c r="N29" t="s">
        <v>1939</v>
      </c>
      <c r="O29" t="s">
        <v>1999</v>
      </c>
      <c r="P29" t="s">
        <v>2053</v>
      </c>
      <c r="Q29" t="s">
        <v>2081</v>
      </c>
      <c r="Z29" s="23" t="s">
        <v>2168</v>
      </c>
      <c r="AA29" s="23" t="s">
        <v>2168</v>
      </c>
      <c r="AB29" s="23" t="s">
        <v>2168</v>
      </c>
      <c r="AC29" s="23" t="s">
        <v>2168</v>
      </c>
      <c r="AD29" s="22" t="s">
        <v>2167</v>
      </c>
      <c r="AI29">
        <f t="shared" si="0"/>
        <v>0</v>
      </c>
      <c r="AJ29">
        <f t="shared" si="1"/>
        <v>4</v>
      </c>
      <c r="AK29">
        <f t="shared" ca="1" si="2"/>
        <v>0</v>
      </c>
      <c r="AL29">
        <f t="shared" ca="1" si="3"/>
        <v>4</v>
      </c>
      <c r="AM29">
        <f t="shared" ca="1" si="4"/>
        <v>1</v>
      </c>
      <c r="AN29">
        <f t="shared" ca="1" si="5"/>
        <v>0</v>
      </c>
      <c r="AO29">
        <f t="shared" ca="1" si="6"/>
        <v>0</v>
      </c>
      <c r="AP29">
        <f t="shared" ca="1" si="7"/>
        <v>1</v>
      </c>
      <c r="AQ29">
        <f t="shared" ca="1" si="8"/>
        <v>1</v>
      </c>
      <c r="AR29">
        <f t="shared" ca="1" si="9"/>
        <v>0</v>
      </c>
      <c r="AS29">
        <f t="shared" si="10"/>
        <v>7.6923076923076927E-2</v>
      </c>
    </row>
    <row r="30" spans="1:45" x14ac:dyDescent="0.3">
      <c r="A30" s="1">
        <v>38</v>
      </c>
      <c r="B30" s="2" t="s">
        <v>61</v>
      </c>
      <c r="C30" t="s">
        <v>234</v>
      </c>
      <c r="D30">
        <v>2017</v>
      </c>
      <c r="E30">
        <v>13</v>
      </c>
      <c r="F30">
        <v>3</v>
      </c>
      <c r="G30" t="s">
        <v>561</v>
      </c>
      <c r="H30" t="s">
        <v>588</v>
      </c>
      <c r="I30" t="s">
        <v>910</v>
      </c>
      <c r="J30" t="s">
        <v>1212</v>
      </c>
      <c r="K30" t="s">
        <v>1444</v>
      </c>
      <c r="L30" t="s">
        <v>1654</v>
      </c>
      <c r="M30" t="s">
        <v>1808</v>
      </c>
      <c r="Z30" s="23" t="s">
        <v>2168</v>
      </c>
      <c r="AA30" s="21" t="s">
        <v>2166</v>
      </c>
      <c r="AB30" s="23" t="s">
        <v>2168</v>
      </c>
      <c r="AI30">
        <f t="shared" si="0"/>
        <v>1</v>
      </c>
      <c r="AJ30">
        <f t="shared" si="1"/>
        <v>2</v>
      </c>
      <c r="AK30">
        <f t="shared" ca="1" si="2"/>
        <v>1</v>
      </c>
      <c r="AL30">
        <f t="shared" ca="1" si="3"/>
        <v>2</v>
      </c>
      <c r="AM30">
        <f t="shared" ca="1" si="4"/>
        <v>0</v>
      </c>
      <c r="AN30">
        <f t="shared" ca="1" si="5"/>
        <v>0</v>
      </c>
      <c r="AO30">
        <f t="shared" ca="1" si="6"/>
        <v>0</v>
      </c>
      <c r="AP30">
        <f t="shared" ca="1" si="7"/>
        <v>0</v>
      </c>
      <c r="AQ30">
        <f t="shared" ca="1" si="8"/>
        <v>1</v>
      </c>
      <c r="AR30">
        <f t="shared" ca="1" si="9"/>
        <v>0.33333333333333331</v>
      </c>
      <c r="AS30">
        <f t="shared" si="10"/>
        <v>7.6923076923076927E-2</v>
      </c>
    </row>
    <row r="31" spans="1:45" x14ac:dyDescent="0.3">
      <c r="A31" s="1">
        <v>39</v>
      </c>
      <c r="B31" s="2" t="s">
        <v>62</v>
      </c>
      <c r="C31" t="s">
        <v>235</v>
      </c>
      <c r="D31">
        <v>2017</v>
      </c>
      <c r="E31">
        <v>13</v>
      </c>
      <c r="F31">
        <v>2</v>
      </c>
      <c r="G31" t="s">
        <v>561</v>
      </c>
      <c r="H31" t="s">
        <v>589</v>
      </c>
      <c r="I31" t="s">
        <v>911</v>
      </c>
      <c r="J31" t="s">
        <v>1213</v>
      </c>
      <c r="K31" t="s">
        <v>1445</v>
      </c>
      <c r="Z31" s="21" t="s">
        <v>2166</v>
      </c>
      <c r="AA31" s="21" t="s">
        <v>2166</v>
      </c>
      <c r="AI31">
        <f t="shared" si="0"/>
        <v>2</v>
      </c>
      <c r="AJ31">
        <f t="shared" si="1"/>
        <v>0</v>
      </c>
      <c r="AK31">
        <f t="shared" ca="1" si="2"/>
        <v>2</v>
      </c>
      <c r="AL31">
        <f t="shared" ca="1" si="3"/>
        <v>0</v>
      </c>
      <c r="AM31">
        <f t="shared" ca="1" si="4"/>
        <v>0</v>
      </c>
      <c r="AN31">
        <f t="shared" ca="1" si="5"/>
        <v>1</v>
      </c>
      <c r="AO31">
        <f t="shared" ca="1" si="6"/>
        <v>0</v>
      </c>
      <c r="AP31">
        <f t="shared" ca="1" si="7"/>
        <v>0</v>
      </c>
      <c r="AQ31">
        <f t="shared" ca="1" si="8"/>
        <v>0</v>
      </c>
      <c r="AR31">
        <f t="shared" ca="1" si="9"/>
        <v>0.5</v>
      </c>
      <c r="AS31">
        <f t="shared" si="10"/>
        <v>7.6923076923076927E-2</v>
      </c>
    </row>
    <row r="32" spans="1:45" x14ac:dyDescent="0.3">
      <c r="A32" s="1">
        <v>42</v>
      </c>
      <c r="B32" s="2" t="s">
        <v>63</v>
      </c>
      <c r="C32" t="s">
        <v>236</v>
      </c>
      <c r="D32">
        <v>2015</v>
      </c>
      <c r="E32">
        <v>11</v>
      </c>
      <c r="F32">
        <v>1</v>
      </c>
      <c r="G32" t="s">
        <v>561</v>
      </c>
      <c r="H32" t="s">
        <v>590</v>
      </c>
      <c r="I32" t="s">
        <v>912</v>
      </c>
      <c r="Z32" s="21" t="s">
        <v>2166</v>
      </c>
      <c r="AI32">
        <f t="shared" si="0"/>
        <v>1</v>
      </c>
      <c r="AJ32">
        <f t="shared" si="1"/>
        <v>0</v>
      </c>
      <c r="AK32">
        <f t="shared" ca="1" si="2"/>
        <v>1</v>
      </c>
      <c r="AL32">
        <f t="shared" ca="1" si="3"/>
        <v>0</v>
      </c>
      <c r="AM32">
        <f t="shared" ca="1" si="4"/>
        <v>0</v>
      </c>
      <c r="AN32">
        <f t="shared" ca="1" si="5"/>
        <v>1</v>
      </c>
      <c r="AO32">
        <f t="shared" ca="1" si="6"/>
        <v>0</v>
      </c>
      <c r="AP32">
        <f t="shared" ca="1" si="7"/>
        <v>0</v>
      </c>
      <c r="AQ32">
        <f t="shared" ca="1" si="8"/>
        <v>0</v>
      </c>
      <c r="AR32">
        <f t="shared" ca="1" si="9"/>
        <v>1</v>
      </c>
      <c r="AS32">
        <f t="shared" si="10"/>
        <v>9.0909090909090912E-2</v>
      </c>
    </row>
    <row r="33" spans="1:45" x14ac:dyDescent="0.3">
      <c r="A33" s="1">
        <v>43</v>
      </c>
      <c r="B33" s="2" t="s">
        <v>64</v>
      </c>
      <c r="C33" t="s">
        <v>237</v>
      </c>
      <c r="D33">
        <v>2016</v>
      </c>
      <c r="E33">
        <v>11</v>
      </c>
      <c r="F33">
        <v>2</v>
      </c>
      <c r="G33" t="s">
        <v>561</v>
      </c>
      <c r="H33" t="s">
        <v>591</v>
      </c>
      <c r="I33" t="s">
        <v>913</v>
      </c>
      <c r="J33" t="s">
        <v>1214</v>
      </c>
      <c r="K33" t="s">
        <v>1446</v>
      </c>
      <c r="Z33" s="21" t="s">
        <v>2166</v>
      </c>
      <c r="AA33" s="23" t="s">
        <v>2168</v>
      </c>
      <c r="AI33">
        <f t="shared" si="0"/>
        <v>1</v>
      </c>
      <c r="AJ33">
        <f t="shared" si="1"/>
        <v>1</v>
      </c>
      <c r="AK33">
        <f t="shared" ca="1" si="2"/>
        <v>1</v>
      </c>
      <c r="AL33">
        <f t="shared" ca="1" si="3"/>
        <v>1</v>
      </c>
      <c r="AM33">
        <f t="shared" ca="1" si="4"/>
        <v>0</v>
      </c>
      <c r="AN33">
        <f t="shared" ca="1" si="5"/>
        <v>0</v>
      </c>
      <c r="AO33">
        <f t="shared" ca="1" si="6"/>
        <v>0</v>
      </c>
      <c r="AP33">
        <f t="shared" ca="1" si="7"/>
        <v>0</v>
      </c>
      <c r="AQ33">
        <f t="shared" ca="1" si="8"/>
        <v>1</v>
      </c>
      <c r="AR33">
        <f t="shared" ca="1" si="9"/>
        <v>0.5</v>
      </c>
      <c r="AS33">
        <f t="shared" si="10"/>
        <v>9.0909090909090912E-2</v>
      </c>
    </row>
    <row r="34" spans="1:45" x14ac:dyDescent="0.3">
      <c r="A34" s="1">
        <v>44</v>
      </c>
      <c r="B34" s="2" t="s">
        <v>65</v>
      </c>
      <c r="C34" t="s">
        <v>238</v>
      </c>
      <c r="D34">
        <v>2019</v>
      </c>
      <c r="E34">
        <v>11</v>
      </c>
      <c r="F34">
        <v>2</v>
      </c>
      <c r="G34" t="s">
        <v>561</v>
      </c>
      <c r="H34" t="s">
        <v>592</v>
      </c>
      <c r="I34" t="s">
        <v>914</v>
      </c>
      <c r="J34" t="s">
        <v>1215</v>
      </c>
      <c r="K34" t="s">
        <v>1447</v>
      </c>
      <c r="Z34" s="21" t="s">
        <v>2166</v>
      </c>
      <c r="AA34" s="21" t="s">
        <v>2166</v>
      </c>
      <c r="AI34">
        <f t="shared" si="0"/>
        <v>2</v>
      </c>
      <c r="AJ34">
        <f t="shared" si="1"/>
        <v>0</v>
      </c>
      <c r="AK34">
        <f t="shared" ca="1" si="2"/>
        <v>2</v>
      </c>
      <c r="AL34">
        <f t="shared" ca="1" si="3"/>
        <v>0</v>
      </c>
      <c r="AM34">
        <f t="shared" ca="1" si="4"/>
        <v>0</v>
      </c>
      <c r="AN34">
        <f t="shared" ca="1" si="5"/>
        <v>1</v>
      </c>
      <c r="AO34">
        <f t="shared" ca="1" si="6"/>
        <v>0</v>
      </c>
      <c r="AP34">
        <f t="shared" ca="1" si="7"/>
        <v>0</v>
      </c>
      <c r="AQ34">
        <f t="shared" ca="1" si="8"/>
        <v>0</v>
      </c>
      <c r="AR34">
        <f t="shared" ca="1" si="9"/>
        <v>0.5</v>
      </c>
      <c r="AS34">
        <f t="shared" si="10"/>
        <v>9.0909090909090912E-2</v>
      </c>
    </row>
    <row r="35" spans="1:45" x14ac:dyDescent="0.3">
      <c r="A35" s="1">
        <v>47</v>
      </c>
      <c r="B35" s="2" t="s">
        <v>66</v>
      </c>
      <c r="C35" t="s">
        <v>239</v>
      </c>
      <c r="D35">
        <v>2016</v>
      </c>
      <c r="E35">
        <v>10</v>
      </c>
      <c r="F35">
        <v>2</v>
      </c>
      <c r="G35" t="s">
        <v>561</v>
      </c>
      <c r="H35" t="s">
        <v>593</v>
      </c>
      <c r="I35" t="s">
        <v>915</v>
      </c>
      <c r="J35" t="s">
        <v>595</v>
      </c>
      <c r="K35" t="s">
        <v>917</v>
      </c>
      <c r="Z35" s="23" t="s">
        <v>2168</v>
      </c>
      <c r="AA35" s="21" t="s">
        <v>2166</v>
      </c>
      <c r="AI35">
        <f t="shared" si="0"/>
        <v>1</v>
      </c>
      <c r="AJ35">
        <f t="shared" si="1"/>
        <v>1</v>
      </c>
      <c r="AK35">
        <f t="shared" ca="1" si="2"/>
        <v>1</v>
      </c>
      <c r="AL35">
        <f t="shared" ca="1" si="3"/>
        <v>1</v>
      </c>
      <c r="AM35">
        <f t="shared" ca="1" si="4"/>
        <v>0</v>
      </c>
      <c r="AN35">
        <f t="shared" ca="1" si="5"/>
        <v>0</v>
      </c>
      <c r="AO35">
        <f t="shared" ca="1" si="6"/>
        <v>0</v>
      </c>
      <c r="AP35">
        <f t="shared" ca="1" si="7"/>
        <v>0</v>
      </c>
      <c r="AQ35">
        <f t="shared" ca="1" si="8"/>
        <v>1</v>
      </c>
      <c r="AR35">
        <f t="shared" ca="1" si="9"/>
        <v>0.5</v>
      </c>
      <c r="AS35">
        <f t="shared" si="10"/>
        <v>0.1</v>
      </c>
    </row>
    <row r="36" spans="1:45" x14ac:dyDescent="0.3">
      <c r="A36" s="1">
        <v>48</v>
      </c>
      <c r="B36" s="2" t="s">
        <v>67</v>
      </c>
      <c r="C36" t="s">
        <v>240</v>
      </c>
      <c r="D36">
        <v>2016</v>
      </c>
      <c r="E36">
        <v>10</v>
      </c>
      <c r="F36">
        <v>1</v>
      </c>
      <c r="G36" t="s">
        <v>561</v>
      </c>
      <c r="H36" t="s">
        <v>594</v>
      </c>
      <c r="I36" t="s">
        <v>916</v>
      </c>
      <c r="Z36" s="23" t="s">
        <v>2168</v>
      </c>
      <c r="AI36">
        <f t="shared" si="0"/>
        <v>0</v>
      </c>
      <c r="AJ36">
        <f t="shared" si="1"/>
        <v>1</v>
      </c>
      <c r="AK36">
        <f t="shared" ca="1" si="2"/>
        <v>0</v>
      </c>
      <c r="AL36">
        <f t="shared" ca="1" si="3"/>
        <v>1</v>
      </c>
      <c r="AM36">
        <f t="shared" ca="1" si="4"/>
        <v>0</v>
      </c>
      <c r="AN36">
        <f t="shared" ca="1" si="5"/>
        <v>0</v>
      </c>
      <c r="AO36">
        <f t="shared" ca="1" si="6"/>
        <v>1</v>
      </c>
      <c r="AP36">
        <f t="shared" ca="1" si="7"/>
        <v>0</v>
      </c>
      <c r="AQ36">
        <f t="shared" ca="1" si="8"/>
        <v>0</v>
      </c>
      <c r="AR36">
        <f t="shared" ca="1" si="9"/>
        <v>0</v>
      </c>
      <c r="AS36">
        <f t="shared" si="10"/>
        <v>0.1</v>
      </c>
    </row>
    <row r="37" spans="1:45" x14ac:dyDescent="0.3">
      <c r="A37" s="1">
        <v>49</v>
      </c>
      <c r="B37" s="2" t="s">
        <v>68</v>
      </c>
      <c r="C37" t="s">
        <v>241</v>
      </c>
      <c r="D37">
        <v>2015</v>
      </c>
      <c r="E37">
        <v>10</v>
      </c>
      <c r="F37">
        <v>3</v>
      </c>
      <c r="G37" t="s">
        <v>561</v>
      </c>
      <c r="H37" t="s">
        <v>595</v>
      </c>
      <c r="I37" t="s">
        <v>917</v>
      </c>
      <c r="J37" t="s">
        <v>593</v>
      </c>
      <c r="K37" t="s">
        <v>915</v>
      </c>
      <c r="L37" t="s">
        <v>1655</v>
      </c>
      <c r="M37" t="s">
        <v>1809</v>
      </c>
      <c r="Z37" s="21" t="s">
        <v>2166</v>
      </c>
      <c r="AA37" s="23" t="s">
        <v>2168</v>
      </c>
      <c r="AB37" s="23" t="s">
        <v>2168</v>
      </c>
      <c r="AI37">
        <f t="shared" si="0"/>
        <v>1</v>
      </c>
      <c r="AJ37">
        <f t="shared" si="1"/>
        <v>2</v>
      </c>
      <c r="AK37">
        <f t="shared" ca="1" si="2"/>
        <v>1</v>
      </c>
      <c r="AL37">
        <f t="shared" ca="1" si="3"/>
        <v>2</v>
      </c>
      <c r="AM37">
        <f t="shared" ca="1" si="4"/>
        <v>0</v>
      </c>
      <c r="AN37">
        <f t="shared" ca="1" si="5"/>
        <v>0</v>
      </c>
      <c r="AO37">
        <f t="shared" ca="1" si="6"/>
        <v>0</v>
      </c>
      <c r="AP37">
        <f t="shared" ca="1" si="7"/>
        <v>0</v>
      </c>
      <c r="AQ37">
        <f t="shared" ca="1" si="8"/>
        <v>1</v>
      </c>
      <c r="AR37">
        <f t="shared" ca="1" si="9"/>
        <v>0.33333333333333331</v>
      </c>
      <c r="AS37">
        <f t="shared" si="10"/>
        <v>0.1</v>
      </c>
    </row>
    <row r="38" spans="1:45" x14ac:dyDescent="0.3">
      <c r="A38" s="1">
        <v>52</v>
      </c>
      <c r="B38" s="2" t="s">
        <v>69</v>
      </c>
      <c r="C38" t="s">
        <v>242</v>
      </c>
      <c r="D38">
        <v>2016</v>
      </c>
      <c r="E38">
        <v>9</v>
      </c>
      <c r="F38">
        <v>4</v>
      </c>
      <c r="G38" t="s">
        <v>561</v>
      </c>
      <c r="H38" t="s">
        <v>596</v>
      </c>
      <c r="I38" t="s">
        <v>918</v>
      </c>
      <c r="J38" t="s">
        <v>1216</v>
      </c>
      <c r="K38" t="s">
        <v>1448</v>
      </c>
      <c r="L38" t="s">
        <v>1656</v>
      </c>
      <c r="M38" t="s">
        <v>1810</v>
      </c>
      <c r="N38" t="s">
        <v>1940</v>
      </c>
      <c r="O38" t="s">
        <v>2000</v>
      </c>
      <c r="Z38" s="23" t="s">
        <v>2168</v>
      </c>
      <c r="AA38" s="22" t="s">
        <v>2167</v>
      </c>
      <c r="AB38" s="21" t="s">
        <v>2166</v>
      </c>
      <c r="AC38" s="23" t="s">
        <v>2168</v>
      </c>
      <c r="AI38">
        <f t="shared" si="0"/>
        <v>1</v>
      </c>
      <c r="AJ38">
        <f t="shared" si="1"/>
        <v>2</v>
      </c>
      <c r="AK38">
        <f t="shared" ca="1" si="2"/>
        <v>1</v>
      </c>
      <c r="AL38">
        <f t="shared" ca="1" si="3"/>
        <v>2</v>
      </c>
      <c r="AM38">
        <f t="shared" ca="1" si="4"/>
        <v>1</v>
      </c>
      <c r="AN38">
        <f t="shared" ca="1" si="5"/>
        <v>0</v>
      </c>
      <c r="AO38">
        <f t="shared" ca="1" si="6"/>
        <v>0</v>
      </c>
      <c r="AP38">
        <f t="shared" ca="1" si="7"/>
        <v>1</v>
      </c>
      <c r="AQ38">
        <f t="shared" ca="1" si="8"/>
        <v>1</v>
      </c>
      <c r="AR38">
        <f t="shared" ca="1" si="9"/>
        <v>0.25</v>
      </c>
      <c r="AS38">
        <f t="shared" si="10"/>
        <v>0.1111111111111111</v>
      </c>
    </row>
    <row r="39" spans="1:45" x14ac:dyDescent="0.3">
      <c r="A39" s="1">
        <v>53</v>
      </c>
      <c r="B39" s="2" t="s">
        <v>70</v>
      </c>
      <c r="C39" t="s">
        <v>243</v>
      </c>
      <c r="D39">
        <v>2019</v>
      </c>
      <c r="E39">
        <v>9</v>
      </c>
      <c r="F39">
        <v>2</v>
      </c>
      <c r="G39" t="s">
        <v>561</v>
      </c>
      <c r="H39" t="s">
        <v>597</v>
      </c>
      <c r="I39" t="s">
        <v>919</v>
      </c>
      <c r="J39" t="s">
        <v>1217</v>
      </c>
      <c r="K39" t="s">
        <v>1069</v>
      </c>
      <c r="Z39" s="23" t="s">
        <v>2168</v>
      </c>
      <c r="AA39" s="22" t="s">
        <v>2167</v>
      </c>
      <c r="AI39">
        <f t="shared" si="0"/>
        <v>0</v>
      </c>
      <c r="AJ39">
        <f t="shared" si="1"/>
        <v>1</v>
      </c>
      <c r="AK39">
        <f t="shared" ca="1" si="2"/>
        <v>0</v>
      </c>
      <c r="AL39">
        <f t="shared" ca="1" si="3"/>
        <v>1</v>
      </c>
      <c r="AM39">
        <f t="shared" ca="1" si="4"/>
        <v>1</v>
      </c>
      <c r="AN39">
        <f t="shared" ca="1" si="5"/>
        <v>0</v>
      </c>
      <c r="AO39">
        <f t="shared" ca="1" si="6"/>
        <v>0</v>
      </c>
      <c r="AP39">
        <f t="shared" ca="1" si="7"/>
        <v>1</v>
      </c>
      <c r="AQ39">
        <f t="shared" ca="1" si="8"/>
        <v>1</v>
      </c>
      <c r="AR39">
        <f t="shared" ca="1" si="9"/>
        <v>0</v>
      </c>
      <c r="AS39">
        <f t="shared" si="10"/>
        <v>0.1111111111111111</v>
      </c>
    </row>
    <row r="40" spans="1:45" x14ac:dyDescent="0.3">
      <c r="A40" s="1">
        <v>54</v>
      </c>
      <c r="B40" s="2" t="s">
        <v>71</v>
      </c>
      <c r="C40" t="s">
        <v>244</v>
      </c>
      <c r="D40">
        <v>2019</v>
      </c>
      <c r="E40">
        <v>9</v>
      </c>
      <c r="F40">
        <v>2</v>
      </c>
      <c r="G40" t="s">
        <v>561</v>
      </c>
      <c r="H40" t="s">
        <v>598</v>
      </c>
      <c r="I40" t="s">
        <v>920</v>
      </c>
      <c r="J40" t="s">
        <v>1218</v>
      </c>
      <c r="K40" t="s">
        <v>1449</v>
      </c>
      <c r="Z40" s="21" t="s">
        <v>2166</v>
      </c>
      <c r="AA40" s="21" t="s">
        <v>2166</v>
      </c>
      <c r="AI40">
        <f t="shared" si="0"/>
        <v>2</v>
      </c>
      <c r="AJ40">
        <f t="shared" si="1"/>
        <v>0</v>
      </c>
      <c r="AK40">
        <f t="shared" ca="1" si="2"/>
        <v>2</v>
      </c>
      <c r="AL40">
        <f t="shared" ca="1" si="3"/>
        <v>0</v>
      </c>
      <c r="AM40">
        <f t="shared" ca="1" si="4"/>
        <v>0</v>
      </c>
      <c r="AN40">
        <f t="shared" ca="1" si="5"/>
        <v>1</v>
      </c>
      <c r="AO40">
        <f t="shared" ca="1" si="6"/>
        <v>0</v>
      </c>
      <c r="AP40">
        <f t="shared" ca="1" si="7"/>
        <v>0</v>
      </c>
      <c r="AQ40">
        <f t="shared" ca="1" si="8"/>
        <v>0</v>
      </c>
      <c r="AR40">
        <f t="shared" ca="1" si="9"/>
        <v>0.5</v>
      </c>
      <c r="AS40">
        <f t="shared" si="10"/>
        <v>0.1111111111111111</v>
      </c>
    </row>
    <row r="41" spans="1:45" x14ac:dyDescent="0.3">
      <c r="A41" s="1">
        <v>55</v>
      </c>
      <c r="B41" s="2" t="s">
        <v>72</v>
      </c>
      <c r="C41" t="s">
        <v>245</v>
      </c>
      <c r="D41">
        <v>2019</v>
      </c>
      <c r="E41">
        <v>9</v>
      </c>
      <c r="F41">
        <v>2</v>
      </c>
      <c r="G41" t="s">
        <v>561</v>
      </c>
      <c r="H41" t="s">
        <v>599</v>
      </c>
      <c r="I41" t="s">
        <v>921</v>
      </c>
      <c r="J41" t="s">
        <v>1219</v>
      </c>
      <c r="K41" t="s">
        <v>1450</v>
      </c>
      <c r="Z41" s="23" t="s">
        <v>2168</v>
      </c>
      <c r="AA41" s="23" t="s">
        <v>2168</v>
      </c>
      <c r="AI41">
        <f t="shared" si="0"/>
        <v>0</v>
      </c>
      <c r="AJ41">
        <f t="shared" si="1"/>
        <v>2</v>
      </c>
      <c r="AK41">
        <f t="shared" ca="1" si="2"/>
        <v>0</v>
      </c>
      <c r="AL41">
        <f t="shared" ca="1" si="3"/>
        <v>2</v>
      </c>
      <c r="AM41">
        <f t="shared" ca="1" si="4"/>
        <v>0</v>
      </c>
      <c r="AN41">
        <f t="shared" ca="1" si="5"/>
        <v>0</v>
      </c>
      <c r="AO41">
        <f t="shared" ca="1" si="6"/>
        <v>1</v>
      </c>
      <c r="AP41">
        <f t="shared" ca="1" si="7"/>
        <v>0</v>
      </c>
      <c r="AQ41">
        <f t="shared" ca="1" si="8"/>
        <v>0</v>
      </c>
      <c r="AR41">
        <f t="shared" ca="1" si="9"/>
        <v>0</v>
      </c>
      <c r="AS41">
        <f t="shared" si="10"/>
        <v>0.1111111111111111</v>
      </c>
    </row>
    <row r="42" spans="1:45" x14ac:dyDescent="0.3">
      <c r="A42" s="1">
        <v>56</v>
      </c>
      <c r="B42" s="2" t="s">
        <v>73</v>
      </c>
      <c r="C42" t="s">
        <v>246</v>
      </c>
      <c r="D42">
        <v>2020</v>
      </c>
      <c r="E42">
        <v>9</v>
      </c>
      <c r="F42">
        <v>4</v>
      </c>
      <c r="G42" t="s">
        <v>561</v>
      </c>
      <c r="H42" t="s">
        <v>600</v>
      </c>
      <c r="I42" t="s">
        <v>922</v>
      </c>
      <c r="J42" t="s">
        <v>698</v>
      </c>
      <c r="K42" t="s">
        <v>1020</v>
      </c>
      <c r="L42" t="s">
        <v>1657</v>
      </c>
      <c r="M42" t="s">
        <v>1811</v>
      </c>
      <c r="N42" t="s">
        <v>1941</v>
      </c>
      <c r="O42" t="s">
        <v>2001</v>
      </c>
      <c r="Z42" s="21" t="s">
        <v>2166</v>
      </c>
      <c r="AA42" s="21" t="s">
        <v>2166</v>
      </c>
      <c r="AB42" s="23" t="s">
        <v>2168</v>
      </c>
      <c r="AC42" s="23" t="s">
        <v>2168</v>
      </c>
      <c r="AI42">
        <f t="shared" si="0"/>
        <v>2</v>
      </c>
      <c r="AJ42">
        <f t="shared" si="1"/>
        <v>2</v>
      </c>
      <c r="AK42">
        <f t="shared" ca="1" si="2"/>
        <v>2</v>
      </c>
      <c r="AL42">
        <f t="shared" ca="1" si="3"/>
        <v>2</v>
      </c>
      <c r="AM42">
        <f t="shared" ca="1" si="4"/>
        <v>0</v>
      </c>
      <c r="AN42">
        <f t="shared" ca="1" si="5"/>
        <v>0</v>
      </c>
      <c r="AO42">
        <f t="shared" ca="1" si="6"/>
        <v>0</v>
      </c>
      <c r="AP42">
        <f t="shared" ca="1" si="7"/>
        <v>0</v>
      </c>
      <c r="AQ42">
        <f t="shared" ca="1" si="8"/>
        <v>1</v>
      </c>
      <c r="AR42">
        <f t="shared" ca="1" si="9"/>
        <v>0.125</v>
      </c>
      <c r="AS42">
        <f t="shared" si="10"/>
        <v>0.1111111111111111</v>
      </c>
    </row>
    <row r="43" spans="1:45" x14ac:dyDescent="0.3">
      <c r="A43" s="1">
        <v>57</v>
      </c>
      <c r="B43" s="2" t="s">
        <v>74</v>
      </c>
      <c r="C43" t="s">
        <v>247</v>
      </c>
      <c r="D43">
        <v>2020</v>
      </c>
      <c r="E43">
        <v>9</v>
      </c>
      <c r="F43">
        <v>1</v>
      </c>
      <c r="G43" t="s">
        <v>561</v>
      </c>
      <c r="H43" t="s">
        <v>601</v>
      </c>
      <c r="I43" t="s">
        <v>923</v>
      </c>
      <c r="Z43" s="21" t="s">
        <v>2166</v>
      </c>
      <c r="AI43">
        <f t="shared" si="0"/>
        <v>1</v>
      </c>
      <c r="AJ43">
        <f t="shared" si="1"/>
        <v>0</v>
      </c>
      <c r="AK43">
        <f t="shared" ca="1" si="2"/>
        <v>1</v>
      </c>
      <c r="AL43">
        <f t="shared" ca="1" si="3"/>
        <v>0</v>
      </c>
      <c r="AM43">
        <f t="shared" ca="1" si="4"/>
        <v>0</v>
      </c>
      <c r="AN43">
        <f t="shared" ca="1" si="5"/>
        <v>1</v>
      </c>
      <c r="AO43">
        <f t="shared" ca="1" si="6"/>
        <v>0</v>
      </c>
      <c r="AP43">
        <f t="shared" ca="1" si="7"/>
        <v>0</v>
      </c>
      <c r="AQ43">
        <f t="shared" ca="1" si="8"/>
        <v>0</v>
      </c>
      <c r="AR43">
        <f t="shared" ca="1" si="9"/>
        <v>1</v>
      </c>
      <c r="AS43">
        <f t="shared" si="10"/>
        <v>0.1111111111111111</v>
      </c>
    </row>
    <row r="44" spans="1:45" x14ac:dyDescent="0.3">
      <c r="A44" s="1">
        <v>61</v>
      </c>
      <c r="B44" s="2" t="s">
        <v>75</v>
      </c>
      <c r="C44" t="s">
        <v>248</v>
      </c>
      <c r="D44">
        <v>2017</v>
      </c>
      <c r="E44">
        <v>8</v>
      </c>
      <c r="F44">
        <v>2</v>
      </c>
      <c r="G44" t="s">
        <v>561</v>
      </c>
      <c r="H44" t="s">
        <v>602</v>
      </c>
      <c r="I44" t="s">
        <v>924</v>
      </c>
      <c r="J44" t="s">
        <v>609</v>
      </c>
      <c r="K44" t="s">
        <v>931</v>
      </c>
      <c r="Z44" s="21" t="s">
        <v>2166</v>
      </c>
      <c r="AA44" s="21" t="s">
        <v>2166</v>
      </c>
      <c r="AI44">
        <f t="shared" si="0"/>
        <v>2</v>
      </c>
      <c r="AJ44">
        <f t="shared" si="1"/>
        <v>0</v>
      </c>
      <c r="AK44">
        <f t="shared" ca="1" si="2"/>
        <v>2</v>
      </c>
      <c r="AL44">
        <f t="shared" ca="1" si="3"/>
        <v>0</v>
      </c>
      <c r="AM44">
        <f t="shared" ca="1" si="4"/>
        <v>0</v>
      </c>
      <c r="AN44">
        <f t="shared" ca="1" si="5"/>
        <v>1</v>
      </c>
      <c r="AO44">
        <f t="shared" ca="1" si="6"/>
        <v>0</v>
      </c>
      <c r="AP44">
        <f t="shared" ca="1" si="7"/>
        <v>0</v>
      </c>
      <c r="AQ44">
        <f t="shared" ca="1" si="8"/>
        <v>0</v>
      </c>
      <c r="AR44">
        <f t="shared" ca="1" si="9"/>
        <v>0.5</v>
      </c>
      <c r="AS44">
        <f t="shared" si="10"/>
        <v>0.125</v>
      </c>
    </row>
    <row r="45" spans="1:45" x14ac:dyDescent="0.3">
      <c r="A45" s="1">
        <v>62</v>
      </c>
      <c r="B45" s="2" t="s">
        <v>76</v>
      </c>
      <c r="C45" t="s">
        <v>249</v>
      </c>
      <c r="D45">
        <v>2019</v>
      </c>
      <c r="E45">
        <v>8</v>
      </c>
      <c r="F45">
        <v>2</v>
      </c>
      <c r="G45" t="s">
        <v>561</v>
      </c>
      <c r="H45" t="s">
        <v>603</v>
      </c>
      <c r="I45" t="s">
        <v>925</v>
      </c>
      <c r="J45" t="s">
        <v>1220</v>
      </c>
      <c r="K45" t="s">
        <v>1451</v>
      </c>
      <c r="Z45" s="21" t="s">
        <v>2166</v>
      </c>
      <c r="AA45" s="23" t="s">
        <v>2168</v>
      </c>
      <c r="AI45">
        <f t="shared" si="0"/>
        <v>1</v>
      </c>
      <c r="AJ45">
        <f t="shared" si="1"/>
        <v>1</v>
      </c>
      <c r="AK45">
        <f t="shared" ca="1" si="2"/>
        <v>1</v>
      </c>
      <c r="AL45">
        <f t="shared" ca="1" si="3"/>
        <v>1</v>
      </c>
      <c r="AM45">
        <f t="shared" ca="1" si="4"/>
        <v>0</v>
      </c>
      <c r="AN45">
        <f t="shared" ca="1" si="5"/>
        <v>0</v>
      </c>
      <c r="AO45">
        <f t="shared" ca="1" si="6"/>
        <v>0</v>
      </c>
      <c r="AP45">
        <f t="shared" ca="1" si="7"/>
        <v>0</v>
      </c>
      <c r="AQ45">
        <f t="shared" ca="1" si="8"/>
        <v>1</v>
      </c>
      <c r="AR45">
        <f t="shared" ca="1" si="9"/>
        <v>0.5</v>
      </c>
      <c r="AS45">
        <f t="shared" si="10"/>
        <v>0.125</v>
      </c>
    </row>
    <row r="46" spans="1:45" x14ac:dyDescent="0.3">
      <c r="A46" s="1">
        <v>63</v>
      </c>
      <c r="B46" s="2" t="s">
        <v>77</v>
      </c>
      <c r="C46" t="s">
        <v>250</v>
      </c>
      <c r="D46">
        <v>2019</v>
      </c>
      <c r="E46">
        <v>8</v>
      </c>
      <c r="F46">
        <v>2</v>
      </c>
      <c r="G46" t="s">
        <v>561</v>
      </c>
      <c r="H46" t="s">
        <v>604</v>
      </c>
      <c r="I46" t="s">
        <v>926</v>
      </c>
      <c r="J46" t="s">
        <v>1221</v>
      </c>
      <c r="K46" t="s">
        <v>1452</v>
      </c>
      <c r="Z46" s="23" t="s">
        <v>2168</v>
      </c>
      <c r="AA46" s="22" t="s">
        <v>2167</v>
      </c>
      <c r="AI46">
        <f t="shared" si="0"/>
        <v>0</v>
      </c>
      <c r="AJ46">
        <f t="shared" si="1"/>
        <v>1</v>
      </c>
      <c r="AK46">
        <f t="shared" ca="1" si="2"/>
        <v>0</v>
      </c>
      <c r="AL46">
        <f t="shared" ca="1" si="3"/>
        <v>1</v>
      </c>
      <c r="AM46">
        <f t="shared" ca="1" si="4"/>
        <v>1</v>
      </c>
      <c r="AN46">
        <f t="shared" ca="1" si="5"/>
        <v>0</v>
      </c>
      <c r="AO46">
        <f t="shared" ca="1" si="6"/>
        <v>0</v>
      </c>
      <c r="AP46">
        <f t="shared" ca="1" si="7"/>
        <v>1</v>
      </c>
      <c r="AQ46">
        <f t="shared" ca="1" si="8"/>
        <v>1</v>
      </c>
      <c r="AR46">
        <f t="shared" ca="1" si="9"/>
        <v>0</v>
      </c>
      <c r="AS46">
        <f t="shared" si="10"/>
        <v>0.125</v>
      </c>
    </row>
    <row r="47" spans="1:45" x14ac:dyDescent="0.3">
      <c r="A47" s="1">
        <v>64</v>
      </c>
      <c r="B47" s="2" t="s">
        <v>78</v>
      </c>
      <c r="C47" t="s">
        <v>251</v>
      </c>
      <c r="D47">
        <v>2019</v>
      </c>
      <c r="E47">
        <v>8</v>
      </c>
      <c r="F47">
        <v>1</v>
      </c>
      <c r="G47" t="s">
        <v>561</v>
      </c>
      <c r="H47" t="s">
        <v>605</v>
      </c>
      <c r="I47" t="s">
        <v>927</v>
      </c>
      <c r="Z47" s="23" t="s">
        <v>2168</v>
      </c>
      <c r="AI47">
        <f t="shared" si="0"/>
        <v>0</v>
      </c>
      <c r="AJ47">
        <f t="shared" si="1"/>
        <v>1</v>
      </c>
      <c r="AK47">
        <f t="shared" ca="1" si="2"/>
        <v>0</v>
      </c>
      <c r="AL47">
        <f t="shared" ca="1" si="3"/>
        <v>1</v>
      </c>
      <c r="AM47">
        <f t="shared" ca="1" si="4"/>
        <v>0</v>
      </c>
      <c r="AN47">
        <f t="shared" ca="1" si="5"/>
        <v>0</v>
      </c>
      <c r="AO47">
        <f t="shared" ca="1" si="6"/>
        <v>1</v>
      </c>
      <c r="AP47">
        <f t="shared" ca="1" si="7"/>
        <v>0</v>
      </c>
      <c r="AQ47">
        <f t="shared" ca="1" si="8"/>
        <v>0</v>
      </c>
      <c r="AR47">
        <f t="shared" ca="1" si="9"/>
        <v>0</v>
      </c>
      <c r="AS47">
        <f t="shared" si="10"/>
        <v>0.125</v>
      </c>
    </row>
    <row r="48" spans="1:45" x14ac:dyDescent="0.3">
      <c r="A48" s="1">
        <v>65</v>
      </c>
      <c r="B48" s="2" t="s">
        <v>79</v>
      </c>
      <c r="C48" t="s">
        <v>252</v>
      </c>
      <c r="D48">
        <v>2015</v>
      </c>
      <c r="E48">
        <v>7</v>
      </c>
      <c r="F48">
        <v>2</v>
      </c>
      <c r="G48" t="s">
        <v>561</v>
      </c>
      <c r="H48" t="s">
        <v>606</v>
      </c>
      <c r="I48" t="s">
        <v>928</v>
      </c>
      <c r="J48" t="s">
        <v>1222</v>
      </c>
      <c r="K48" t="s">
        <v>1453</v>
      </c>
      <c r="Z48" s="23" t="s">
        <v>2168</v>
      </c>
      <c r="AA48" s="21" t="s">
        <v>2166</v>
      </c>
      <c r="AI48">
        <f t="shared" si="0"/>
        <v>1</v>
      </c>
      <c r="AJ48">
        <f t="shared" si="1"/>
        <v>1</v>
      </c>
      <c r="AK48">
        <f t="shared" ca="1" si="2"/>
        <v>1</v>
      </c>
      <c r="AL48">
        <f t="shared" ca="1" si="3"/>
        <v>1</v>
      </c>
      <c r="AM48">
        <f t="shared" ca="1" si="4"/>
        <v>0</v>
      </c>
      <c r="AN48">
        <f t="shared" ca="1" si="5"/>
        <v>0</v>
      </c>
      <c r="AO48">
        <f t="shared" ca="1" si="6"/>
        <v>0</v>
      </c>
      <c r="AP48">
        <f t="shared" ca="1" si="7"/>
        <v>0</v>
      </c>
      <c r="AQ48">
        <f t="shared" ca="1" si="8"/>
        <v>1</v>
      </c>
      <c r="AR48">
        <f t="shared" ca="1" si="9"/>
        <v>0.5</v>
      </c>
      <c r="AS48">
        <f t="shared" si="10"/>
        <v>0.14285714285714285</v>
      </c>
    </row>
    <row r="49" spans="1:45" x14ac:dyDescent="0.3">
      <c r="A49" s="1">
        <v>68</v>
      </c>
      <c r="B49" s="2" t="s">
        <v>80</v>
      </c>
      <c r="C49" t="s">
        <v>253</v>
      </c>
      <c r="D49">
        <v>2016</v>
      </c>
      <c r="E49">
        <v>7</v>
      </c>
      <c r="F49">
        <v>3</v>
      </c>
      <c r="G49" t="s">
        <v>561</v>
      </c>
      <c r="H49" t="s">
        <v>607</v>
      </c>
      <c r="I49" t="s">
        <v>929</v>
      </c>
      <c r="J49" t="s">
        <v>1223</v>
      </c>
      <c r="K49" t="s">
        <v>1454</v>
      </c>
      <c r="L49" t="s">
        <v>1658</v>
      </c>
      <c r="M49" t="s">
        <v>1812</v>
      </c>
      <c r="Z49" s="23" t="s">
        <v>2168</v>
      </c>
      <c r="AA49" s="21" t="s">
        <v>2166</v>
      </c>
      <c r="AB49" s="21" t="s">
        <v>2166</v>
      </c>
      <c r="AI49">
        <f t="shared" si="0"/>
        <v>2</v>
      </c>
      <c r="AJ49">
        <f t="shared" si="1"/>
        <v>1</v>
      </c>
      <c r="AK49">
        <f t="shared" ca="1" si="2"/>
        <v>2</v>
      </c>
      <c r="AL49">
        <f t="shared" ca="1" si="3"/>
        <v>1</v>
      </c>
      <c r="AM49">
        <f t="shared" ca="1" si="4"/>
        <v>0</v>
      </c>
      <c r="AN49">
        <f t="shared" ca="1" si="5"/>
        <v>0</v>
      </c>
      <c r="AO49">
        <f t="shared" ca="1" si="6"/>
        <v>0</v>
      </c>
      <c r="AP49">
        <f t="shared" ca="1" si="7"/>
        <v>0</v>
      </c>
      <c r="AQ49">
        <f t="shared" ca="1" si="8"/>
        <v>1</v>
      </c>
      <c r="AR49">
        <f t="shared" ca="1" si="9"/>
        <v>0.22222222222222221</v>
      </c>
      <c r="AS49">
        <f t="shared" si="10"/>
        <v>0.14285714285714285</v>
      </c>
    </row>
    <row r="50" spans="1:45" x14ac:dyDescent="0.3">
      <c r="A50" s="1">
        <v>69</v>
      </c>
      <c r="B50" s="2" t="s">
        <v>81</v>
      </c>
      <c r="C50" t="s">
        <v>254</v>
      </c>
      <c r="D50">
        <v>2017</v>
      </c>
      <c r="E50">
        <v>7</v>
      </c>
      <c r="F50">
        <v>1</v>
      </c>
      <c r="G50" t="s">
        <v>561</v>
      </c>
      <c r="H50" t="s">
        <v>579</v>
      </c>
      <c r="I50" t="s">
        <v>901</v>
      </c>
      <c r="Z50" s="21" t="s">
        <v>2166</v>
      </c>
      <c r="AI50">
        <f t="shared" si="0"/>
        <v>1</v>
      </c>
      <c r="AJ50">
        <f t="shared" si="1"/>
        <v>0</v>
      </c>
      <c r="AK50">
        <f t="shared" ca="1" si="2"/>
        <v>1</v>
      </c>
      <c r="AL50">
        <f t="shared" ca="1" si="3"/>
        <v>0</v>
      </c>
      <c r="AM50">
        <f t="shared" ca="1" si="4"/>
        <v>0</v>
      </c>
      <c r="AN50">
        <f t="shared" ca="1" si="5"/>
        <v>1</v>
      </c>
      <c r="AO50">
        <f t="shared" ca="1" si="6"/>
        <v>0</v>
      </c>
      <c r="AP50">
        <f t="shared" ca="1" si="7"/>
        <v>0</v>
      </c>
      <c r="AQ50">
        <f t="shared" ca="1" si="8"/>
        <v>0</v>
      </c>
      <c r="AR50">
        <f t="shared" ca="1" si="9"/>
        <v>1</v>
      </c>
      <c r="AS50">
        <f t="shared" si="10"/>
        <v>0.14285714285714285</v>
      </c>
    </row>
    <row r="51" spans="1:45" x14ac:dyDescent="0.3">
      <c r="A51" s="1">
        <v>70</v>
      </c>
      <c r="B51" s="2" t="s">
        <v>82</v>
      </c>
      <c r="C51" t="s">
        <v>255</v>
      </c>
      <c r="D51">
        <v>2019</v>
      </c>
      <c r="E51">
        <v>7</v>
      </c>
      <c r="F51">
        <v>6</v>
      </c>
      <c r="G51" t="s">
        <v>561</v>
      </c>
      <c r="H51" t="s">
        <v>608</v>
      </c>
      <c r="I51" t="s">
        <v>930</v>
      </c>
      <c r="J51" t="s">
        <v>881</v>
      </c>
      <c r="K51" t="s">
        <v>1192</v>
      </c>
      <c r="L51" t="s">
        <v>1659</v>
      </c>
      <c r="M51" t="s">
        <v>1813</v>
      </c>
      <c r="N51" t="s">
        <v>1942</v>
      </c>
      <c r="O51" t="s">
        <v>2002</v>
      </c>
      <c r="P51" t="s">
        <v>2054</v>
      </c>
      <c r="Q51" t="s">
        <v>2082</v>
      </c>
      <c r="R51" t="s">
        <v>1423</v>
      </c>
      <c r="S51" t="s">
        <v>1637</v>
      </c>
      <c r="Z51" s="21" t="s">
        <v>2166</v>
      </c>
      <c r="AA51" s="21" t="s">
        <v>2166</v>
      </c>
      <c r="AB51" s="22" t="s">
        <v>2167</v>
      </c>
      <c r="AC51" s="21" t="s">
        <v>2166</v>
      </c>
      <c r="AD51" s="21" t="s">
        <v>2166</v>
      </c>
      <c r="AE51" s="23" t="s">
        <v>2168</v>
      </c>
      <c r="AI51">
        <f t="shared" si="0"/>
        <v>4</v>
      </c>
      <c r="AJ51">
        <f t="shared" si="1"/>
        <v>1</v>
      </c>
      <c r="AK51">
        <f t="shared" ca="1" si="2"/>
        <v>4</v>
      </c>
      <c r="AL51">
        <f t="shared" ca="1" si="3"/>
        <v>1</v>
      </c>
      <c r="AM51">
        <f t="shared" ca="1" si="4"/>
        <v>1</v>
      </c>
      <c r="AN51">
        <f t="shared" ca="1" si="5"/>
        <v>0</v>
      </c>
      <c r="AO51">
        <f t="shared" ca="1" si="6"/>
        <v>0</v>
      </c>
      <c r="AP51">
        <f t="shared" ca="1" si="7"/>
        <v>1</v>
      </c>
      <c r="AQ51">
        <f t="shared" ca="1" si="8"/>
        <v>1</v>
      </c>
      <c r="AR51">
        <f t="shared" ca="1" si="9"/>
        <v>1.8518518518518517E-2</v>
      </c>
      <c r="AS51">
        <f t="shared" si="10"/>
        <v>0.14285714285714285</v>
      </c>
    </row>
    <row r="52" spans="1:45" x14ac:dyDescent="0.3">
      <c r="A52" s="1">
        <v>71</v>
      </c>
      <c r="B52" s="2" t="s">
        <v>83</v>
      </c>
      <c r="C52" t="s">
        <v>256</v>
      </c>
      <c r="D52">
        <v>2019</v>
      </c>
      <c r="E52">
        <v>7</v>
      </c>
      <c r="F52">
        <v>3</v>
      </c>
      <c r="G52" t="s">
        <v>561</v>
      </c>
      <c r="H52" t="s">
        <v>609</v>
      </c>
      <c r="I52" t="s">
        <v>931</v>
      </c>
      <c r="J52" t="s">
        <v>1224</v>
      </c>
      <c r="K52" t="s">
        <v>1455</v>
      </c>
      <c r="L52" t="s">
        <v>1660</v>
      </c>
      <c r="M52" t="s">
        <v>1814</v>
      </c>
      <c r="Z52" s="21" t="s">
        <v>2166</v>
      </c>
      <c r="AA52" s="21" t="s">
        <v>2166</v>
      </c>
      <c r="AB52" s="21" t="s">
        <v>2166</v>
      </c>
      <c r="AI52">
        <f t="shared" si="0"/>
        <v>3</v>
      </c>
      <c r="AJ52">
        <f t="shared" si="1"/>
        <v>0</v>
      </c>
      <c r="AK52">
        <f t="shared" ca="1" si="2"/>
        <v>3</v>
      </c>
      <c r="AL52">
        <f t="shared" ca="1" si="3"/>
        <v>0</v>
      </c>
      <c r="AM52">
        <f t="shared" ca="1" si="4"/>
        <v>0</v>
      </c>
      <c r="AN52">
        <f t="shared" ca="1" si="5"/>
        <v>1</v>
      </c>
      <c r="AO52">
        <f t="shared" ca="1" si="6"/>
        <v>0</v>
      </c>
      <c r="AP52">
        <f t="shared" ca="1" si="7"/>
        <v>0</v>
      </c>
      <c r="AQ52">
        <f t="shared" ca="1" si="8"/>
        <v>0</v>
      </c>
      <c r="AR52">
        <f t="shared" ca="1" si="9"/>
        <v>0.22222222222222221</v>
      </c>
      <c r="AS52">
        <f t="shared" si="10"/>
        <v>0.14285714285714285</v>
      </c>
    </row>
    <row r="53" spans="1:45" x14ac:dyDescent="0.3">
      <c r="A53" s="1">
        <v>72</v>
      </c>
      <c r="B53" s="2" t="s">
        <v>84</v>
      </c>
      <c r="C53" t="s">
        <v>257</v>
      </c>
      <c r="D53">
        <v>2019</v>
      </c>
      <c r="E53">
        <v>7</v>
      </c>
      <c r="F53">
        <v>3</v>
      </c>
      <c r="G53" t="s">
        <v>561</v>
      </c>
      <c r="H53" t="s">
        <v>590</v>
      </c>
      <c r="I53" t="s">
        <v>912</v>
      </c>
      <c r="J53" t="s">
        <v>1225</v>
      </c>
      <c r="K53" t="s">
        <v>1456</v>
      </c>
      <c r="L53" t="s">
        <v>1218</v>
      </c>
      <c r="M53" t="s">
        <v>1449</v>
      </c>
      <c r="Z53" s="21" t="s">
        <v>2166</v>
      </c>
      <c r="AA53" s="21" t="s">
        <v>2166</v>
      </c>
      <c r="AB53" s="21" t="s">
        <v>2166</v>
      </c>
      <c r="AI53">
        <f t="shared" si="0"/>
        <v>3</v>
      </c>
      <c r="AJ53">
        <f t="shared" si="1"/>
        <v>0</v>
      </c>
      <c r="AK53">
        <f t="shared" ca="1" si="2"/>
        <v>3</v>
      </c>
      <c r="AL53">
        <f t="shared" ca="1" si="3"/>
        <v>0</v>
      </c>
      <c r="AM53">
        <f t="shared" ca="1" si="4"/>
        <v>0</v>
      </c>
      <c r="AN53">
        <f t="shared" ca="1" si="5"/>
        <v>1</v>
      </c>
      <c r="AO53">
        <f t="shared" ca="1" si="6"/>
        <v>0</v>
      </c>
      <c r="AP53">
        <f t="shared" ca="1" si="7"/>
        <v>0</v>
      </c>
      <c r="AQ53">
        <f t="shared" ca="1" si="8"/>
        <v>0</v>
      </c>
      <c r="AR53">
        <f t="shared" ca="1" si="9"/>
        <v>0.22222222222222221</v>
      </c>
      <c r="AS53">
        <f t="shared" si="10"/>
        <v>0.14285714285714285</v>
      </c>
    </row>
    <row r="54" spans="1:45" x14ac:dyDescent="0.3">
      <c r="A54" s="1">
        <v>73</v>
      </c>
      <c r="B54" s="2" t="s">
        <v>85</v>
      </c>
      <c r="C54" t="s">
        <v>258</v>
      </c>
      <c r="D54">
        <v>2020</v>
      </c>
      <c r="E54">
        <v>7</v>
      </c>
      <c r="F54">
        <v>1</v>
      </c>
      <c r="G54" t="s">
        <v>561</v>
      </c>
      <c r="H54" t="s">
        <v>575</v>
      </c>
      <c r="I54" t="s">
        <v>897</v>
      </c>
      <c r="Z54" s="21" t="s">
        <v>2166</v>
      </c>
      <c r="AI54">
        <f t="shared" si="0"/>
        <v>1</v>
      </c>
      <c r="AJ54">
        <f t="shared" si="1"/>
        <v>0</v>
      </c>
      <c r="AK54">
        <f t="shared" ca="1" si="2"/>
        <v>1</v>
      </c>
      <c r="AL54">
        <f t="shared" ca="1" si="3"/>
        <v>0</v>
      </c>
      <c r="AM54">
        <f t="shared" ca="1" si="4"/>
        <v>0</v>
      </c>
      <c r="AN54">
        <f t="shared" ca="1" si="5"/>
        <v>1</v>
      </c>
      <c r="AO54">
        <f t="shared" ca="1" si="6"/>
        <v>0</v>
      </c>
      <c r="AP54">
        <f t="shared" ca="1" si="7"/>
        <v>0</v>
      </c>
      <c r="AQ54">
        <f t="shared" ca="1" si="8"/>
        <v>0</v>
      </c>
      <c r="AR54">
        <f t="shared" ca="1" si="9"/>
        <v>1</v>
      </c>
      <c r="AS54">
        <f t="shared" si="10"/>
        <v>0.14285714285714285</v>
      </c>
    </row>
    <row r="55" spans="1:45" x14ac:dyDescent="0.3">
      <c r="A55" s="1">
        <v>75</v>
      </c>
      <c r="B55" s="2" t="s">
        <v>86</v>
      </c>
      <c r="C55" t="s">
        <v>259</v>
      </c>
      <c r="D55">
        <v>2020</v>
      </c>
      <c r="E55">
        <v>7</v>
      </c>
      <c r="F55">
        <v>7</v>
      </c>
      <c r="G55" t="s">
        <v>561</v>
      </c>
      <c r="H55" t="s">
        <v>610</v>
      </c>
      <c r="I55" t="s">
        <v>932</v>
      </c>
      <c r="J55" t="s">
        <v>1226</v>
      </c>
      <c r="K55" t="s">
        <v>1457</v>
      </c>
      <c r="L55" t="s">
        <v>1661</v>
      </c>
      <c r="M55" t="s">
        <v>1434</v>
      </c>
      <c r="N55" t="s">
        <v>612</v>
      </c>
      <c r="O55" t="s">
        <v>934</v>
      </c>
      <c r="P55" t="s">
        <v>2055</v>
      </c>
      <c r="Q55" t="s">
        <v>2083</v>
      </c>
      <c r="R55" t="s">
        <v>2105</v>
      </c>
      <c r="S55" t="s">
        <v>2123</v>
      </c>
      <c r="T55" t="s">
        <v>1275</v>
      </c>
      <c r="U55" t="s">
        <v>1503</v>
      </c>
      <c r="Z55" s="21" t="s">
        <v>2166</v>
      </c>
      <c r="AA55" s="21" t="s">
        <v>2166</v>
      </c>
      <c r="AB55" s="21" t="s">
        <v>2166</v>
      </c>
      <c r="AC55" s="23" t="s">
        <v>2168</v>
      </c>
      <c r="AD55" s="21" t="s">
        <v>2166</v>
      </c>
      <c r="AE55" s="21" t="s">
        <v>2166</v>
      </c>
      <c r="AF55" s="21" t="s">
        <v>2166</v>
      </c>
      <c r="AI55">
        <f t="shared" si="0"/>
        <v>6</v>
      </c>
      <c r="AJ55">
        <f t="shared" si="1"/>
        <v>1</v>
      </c>
      <c r="AK55">
        <f t="shared" ca="1" si="2"/>
        <v>6</v>
      </c>
      <c r="AL55">
        <f t="shared" ca="1" si="3"/>
        <v>1</v>
      </c>
      <c r="AM55">
        <f t="shared" ca="1" si="4"/>
        <v>0</v>
      </c>
      <c r="AN55">
        <f t="shared" ca="1" si="5"/>
        <v>0</v>
      </c>
      <c r="AO55">
        <f t="shared" ca="1" si="6"/>
        <v>0</v>
      </c>
      <c r="AP55">
        <f t="shared" ca="1" si="7"/>
        <v>0</v>
      </c>
      <c r="AQ55">
        <f t="shared" ca="1" si="8"/>
        <v>1</v>
      </c>
      <c r="AR55">
        <f t="shared" ca="1" si="9"/>
        <v>6.1198990216661401E-3</v>
      </c>
      <c r="AS55">
        <f t="shared" si="10"/>
        <v>0.14285714285714285</v>
      </c>
    </row>
    <row r="56" spans="1:45" x14ac:dyDescent="0.3">
      <c r="A56" s="1">
        <v>76</v>
      </c>
      <c r="B56" s="2" t="s">
        <v>87</v>
      </c>
      <c r="C56" t="s">
        <v>260</v>
      </c>
      <c r="D56">
        <v>2020</v>
      </c>
      <c r="E56">
        <v>7</v>
      </c>
      <c r="F56">
        <v>1</v>
      </c>
      <c r="G56" t="s">
        <v>561</v>
      </c>
      <c r="H56" t="s">
        <v>611</v>
      </c>
      <c r="I56" t="s">
        <v>933</v>
      </c>
      <c r="Z56" s="23" t="s">
        <v>2168</v>
      </c>
      <c r="AI56">
        <f t="shared" si="0"/>
        <v>0</v>
      </c>
      <c r="AJ56">
        <f t="shared" si="1"/>
        <v>1</v>
      </c>
      <c r="AK56">
        <f t="shared" ca="1" si="2"/>
        <v>0</v>
      </c>
      <c r="AL56">
        <f t="shared" ca="1" si="3"/>
        <v>1</v>
      </c>
      <c r="AM56">
        <f t="shared" ca="1" si="4"/>
        <v>0</v>
      </c>
      <c r="AN56">
        <f t="shared" ca="1" si="5"/>
        <v>0</v>
      </c>
      <c r="AO56">
        <f t="shared" ca="1" si="6"/>
        <v>1</v>
      </c>
      <c r="AP56">
        <f t="shared" ca="1" si="7"/>
        <v>0</v>
      </c>
      <c r="AQ56">
        <f t="shared" ca="1" si="8"/>
        <v>0</v>
      </c>
      <c r="AR56">
        <f t="shared" ca="1" si="9"/>
        <v>0</v>
      </c>
      <c r="AS56">
        <f t="shared" si="10"/>
        <v>0.14285714285714285</v>
      </c>
    </row>
    <row r="57" spans="1:45" x14ac:dyDescent="0.3">
      <c r="A57" s="1">
        <v>77</v>
      </c>
      <c r="B57" s="2" t="s">
        <v>88</v>
      </c>
      <c r="C57" t="s">
        <v>261</v>
      </c>
      <c r="D57">
        <v>2020</v>
      </c>
      <c r="E57">
        <v>7</v>
      </c>
      <c r="F57">
        <v>1</v>
      </c>
      <c r="G57" t="s">
        <v>561</v>
      </c>
      <c r="H57" t="s">
        <v>612</v>
      </c>
      <c r="I57" t="s">
        <v>934</v>
      </c>
      <c r="Z57" s="23" t="s">
        <v>2168</v>
      </c>
      <c r="AI57">
        <f t="shared" si="0"/>
        <v>0</v>
      </c>
      <c r="AJ57">
        <f t="shared" si="1"/>
        <v>1</v>
      </c>
      <c r="AK57">
        <f t="shared" ca="1" si="2"/>
        <v>0</v>
      </c>
      <c r="AL57">
        <f t="shared" ca="1" si="3"/>
        <v>1</v>
      </c>
      <c r="AM57">
        <f t="shared" ca="1" si="4"/>
        <v>0</v>
      </c>
      <c r="AN57">
        <f t="shared" ca="1" si="5"/>
        <v>0</v>
      </c>
      <c r="AO57">
        <f t="shared" ca="1" si="6"/>
        <v>1</v>
      </c>
      <c r="AP57">
        <f t="shared" ca="1" si="7"/>
        <v>0</v>
      </c>
      <c r="AQ57">
        <f t="shared" ca="1" si="8"/>
        <v>0</v>
      </c>
      <c r="AR57">
        <f t="shared" ca="1" si="9"/>
        <v>0</v>
      </c>
      <c r="AS57">
        <f t="shared" si="10"/>
        <v>0.14285714285714285</v>
      </c>
    </row>
    <row r="58" spans="1:45" x14ac:dyDescent="0.3">
      <c r="A58" s="1">
        <v>78</v>
      </c>
      <c r="B58" s="2" t="s">
        <v>89</v>
      </c>
      <c r="C58" t="s">
        <v>262</v>
      </c>
      <c r="D58">
        <v>2017</v>
      </c>
      <c r="E58">
        <v>7</v>
      </c>
      <c r="F58">
        <v>3</v>
      </c>
      <c r="G58" t="s">
        <v>561</v>
      </c>
      <c r="H58" t="s">
        <v>613</v>
      </c>
      <c r="I58" t="s">
        <v>935</v>
      </c>
      <c r="J58" t="s">
        <v>1227</v>
      </c>
      <c r="K58" t="s">
        <v>1458</v>
      </c>
      <c r="L58" t="s">
        <v>1662</v>
      </c>
      <c r="M58" t="s">
        <v>1815</v>
      </c>
      <c r="Z58" s="21" t="s">
        <v>2166</v>
      </c>
      <c r="AA58" s="21" t="s">
        <v>2166</v>
      </c>
      <c r="AB58" s="21" t="s">
        <v>2166</v>
      </c>
      <c r="AI58">
        <f t="shared" si="0"/>
        <v>3</v>
      </c>
      <c r="AJ58">
        <f t="shared" si="1"/>
        <v>0</v>
      </c>
      <c r="AK58">
        <f t="shared" ca="1" si="2"/>
        <v>3</v>
      </c>
      <c r="AL58">
        <f t="shared" ca="1" si="3"/>
        <v>0</v>
      </c>
      <c r="AM58">
        <f t="shared" ca="1" si="4"/>
        <v>0</v>
      </c>
      <c r="AN58">
        <f t="shared" ca="1" si="5"/>
        <v>1</v>
      </c>
      <c r="AO58">
        <f t="shared" ca="1" si="6"/>
        <v>0</v>
      </c>
      <c r="AP58">
        <f t="shared" ca="1" si="7"/>
        <v>0</v>
      </c>
      <c r="AQ58">
        <f t="shared" ca="1" si="8"/>
        <v>0</v>
      </c>
      <c r="AR58">
        <f t="shared" ca="1" si="9"/>
        <v>0.22222222222222221</v>
      </c>
      <c r="AS58">
        <f t="shared" si="10"/>
        <v>0.14285714285714285</v>
      </c>
    </row>
    <row r="59" spans="1:45" x14ac:dyDescent="0.3">
      <c r="A59" s="1">
        <v>85</v>
      </c>
      <c r="B59" s="2" t="s">
        <v>90</v>
      </c>
      <c r="C59" t="s">
        <v>263</v>
      </c>
      <c r="D59">
        <v>2016</v>
      </c>
      <c r="E59">
        <v>6</v>
      </c>
      <c r="F59">
        <v>2</v>
      </c>
      <c r="G59" t="s">
        <v>561</v>
      </c>
      <c r="H59" t="s">
        <v>614</v>
      </c>
      <c r="I59" t="s">
        <v>936</v>
      </c>
      <c r="J59" t="s">
        <v>1228</v>
      </c>
      <c r="K59" t="s">
        <v>1459</v>
      </c>
      <c r="Z59" s="22" t="s">
        <v>2167</v>
      </c>
      <c r="AA59" s="22" t="s">
        <v>2167</v>
      </c>
      <c r="AI59">
        <f t="shared" si="0"/>
        <v>0</v>
      </c>
      <c r="AJ59">
        <f t="shared" si="1"/>
        <v>0</v>
      </c>
      <c r="AK59">
        <f t="shared" ca="1" si="2"/>
        <v>0</v>
      </c>
      <c r="AL59">
        <f t="shared" ca="1" si="3"/>
        <v>0</v>
      </c>
      <c r="AM59">
        <f t="shared" ca="1" si="4"/>
        <v>2</v>
      </c>
      <c r="AN59">
        <f t="shared" ca="1" si="5"/>
        <v>0</v>
      </c>
      <c r="AO59">
        <f t="shared" ca="1" si="6"/>
        <v>0</v>
      </c>
      <c r="AP59">
        <f t="shared" ca="1" si="7"/>
        <v>1</v>
      </c>
      <c r="AQ59">
        <f t="shared" ca="1" si="8"/>
        <v>1</v>
      </c>
      <c r="AR59">
        <f t="shared" ca="1" si="9"/>
        <v>0</v>
      </c>
      <c r="AS59">
        <f t="shared" si="10"/>
        <v>0.16666666666666666</v>
      </c>
    </row>
    <row r="60" spans="1:45" x14ac:dyDescent="0.3">
      <c r="A60" s="1">
        <v>86</v>
      </c>
      <c r="B60" s="2" t="s">
        <v>91</v>
      </c>
      <c r="C60" t="s">
        <v>264</v>
      </c>
      <c r="D60">
        <v>2017</v>
      </c>
      <c r="E60">
        <v>6</v>
      </c>
      <c r="F60">
        <v>5</v>
      </c>
      <c r="G60" t="s">
        <v>561</v>
      </c>
      <c r="H60" t="s">
        <v>615</v>
      </c>
      <c r="I60" t="s">
        <v>937</v>
      </c>
      <c r="J60" t="s">
        <v>1229</v>
      </c>
      <c r="K60" t="s">
        <v>1460</v>
      </c>
      <c r="L60" t="s">
        <v>1663</v>
      </c>
      <c r="M60" t="s">
        <v>1816</v>
      </c>
      <c r="N60" t="s">
        <v>1943</v>
      </c>
      <c r="O60" t="s">
        <v>2003</v>
      </c>
      <c r="P60" t="s">
        <v>2056</v>
      </c>
      <c r="Q60" t="s">
        <v>2084</v>
      </c>
      <c r="Z60" s="22" t="s">
        <v>2167</v>
      </c>
      <c r="AA60" s="21" t="s">
        <v>2166</v>
      </c>
      <c r="AB60" s="21" t="s">
        <v>2166</v>
      </c>
      <c r="AC60" s="23" t="s">
        <v>2168</v>
      </c>
      <c r="AD60" s="23" t="s">
        <v>2168</v>
      </c>
      <c r="AI60">
        <f t="shared" si="0"/>
        <v>2</v>
      </c>
      <c r="AJ60">
        <f t="shared" si="1"/>
        <v>2</v>
      </c>
      <c r="AK60">
        <f t="shared" ca="1" si="2"/>
        <v>2</v>
      </c>
      <c r="AL60">
        <f t="shared" ca="1" si="3"/>
        <v>2</v>
      </c>
      <c r="AM60">
        <f t="shared" ca="1" si="4"/>
        <v>1</v>
      </c>
      <c r="AN60">
        <f t="shared" ca="1" si="5"/>
        <v>0</v>
      </c>
      <c r="AO60">
        <f t="shared" ca="1" si="6"/>
        <v>0</v>
      </c>
      <c r="AP60">
        <f t="shared" ca="1" si="7"/>
        <v>1</v>
      </c>
      <c r="AQ60">
        <f t="shared" ca="1" si="8"/>
        <v>1</v>
      </c>
      <c r="AR60">
        <f t="shared" ca="1" si="9"/>
        <v>8.0000000000000016E-2</v>
      </c>
      <c r="AS60">
        <f t="shared" si="10"/>
        <v>0.16666666666666666</v>
      </c>
    </row>
    <row r="61" spans="1:45" x14ac:dyDescent="0.3">
      <c r="A61" s="1">
        <v>87</v>
      </c>
      <c r="B61" s="2" t="s">
        <v>92</v>
      </c>
      <c r="C61" t="s">
        <v>265</v>
      </c>
      <c r="D61">
        <v>2017</v>
      </c>
      <c r="E61">
        <v>6</v>
      </c>
      <c r="F61">
        <v>4</v>
      </c>
      <c r="G61" t="s">
        <v>561</v>
      </c>
      <c r="H61" t="s">
        <v>616</v>
      </c>
      <c r="I61" t="s">
        <v>938</v>
      </c>
      <c r="J61" t="s">
        <v>1230</v>
      </c>
      <c r="K61" t="s">
        <v>1461</v>
      </c>
      <c r="L61" t="s">
        <v>1664</v>
      </c>
      <c r="M61" t="s">
        <v>1817</v>
      </c>
      <c r="N61" t="s">
        <v>1944</v>
      </c>
      <c r="O61" t="s">
        <v>2004</v>
      </c>
      <c r="Z61" s="21" t="s">
        <v>2166</v>
      </c>
      <c r="AA61" s="21" t="s">
        <v>2166</v>
      </c>
      <c r="AB61" s="21" t="s">
        <v>2166</v>
      </c>
      <c r="AC61" s="23" t="s">
        <v>2168</v>
      </c>
      <c r="AI61">
        <f t="shared" si="0"/>
        <v>3</v>
      </c>
      <c r="AJ61">
        <f t="shared" si="1"/>
        <v>1</v>
      </c>
      <c r="AK61">
        <f t="shared" ca="1" si="2"/>
        <v>3</v>
      </c>
      <c r="AL61">
        <f t="shared" ca="1" si="3"/>
        <v>1</v>
      </c>
      <c r="AM61">
        <f t="shared" ca="1" si="4"/>
        <v>0</v>
      </c>
      <c r="AN61">
        <f t="shared" ca="1" si="5"/>
        <v>0</v>
      </c>
      <c r="AO61">
        <f t="shared" ca="1" si="6"/>
        <v>0</v>
      </c>
      <c r="AP61">
        <f t="shared" ca="1" si="7"/>
        <v>0</v>
      </c>
      <c r="AQ61">
        <f t="shared" ca="1" si="8"/>
        <v>1</v>
      </c>
      <c r="AR61">
        <f t="shared" ca="1" si="9"/>
        <v>9.375E-2</v>
      </c>
      <c r="AS61">
        <f t="shared" si="10"/>
        <v>0.16666666666666666</v>
      </c>
    </row>
    <row r="62" spans="1:45" x14ac:dyDescent="0.3">
      <c r="A62" s="1">
        <v>88</v>
      </c>
      <c r="B62" s="2" t="s">
        <v>93</v>
      </c>
      <c r="C62" t="s">
        <v>266</v>
      </c>
      <c r="D62">
        <v>2017</v>
      </c>
      <c r="E62">
        <v>6</v>
      </c>
      <c r="F62">
        <v>2</v>
      </c>
      <c r="G62" t="s">
        <v>561</v>
      </c>
      <c r="H62" t="s">
        <v>617</v>
      </c>
      <c r="I62" t="s">
        <v>939</v>
      </c>
      <c r="J62" t="s">
        <v>1231</v>
      </c>
      <c r="K62" t="s">
        <v>1462</v>
      </c>
      <c r="Z62" s="21" t="s">
        <v>2166</v>
      </c>
      <c r="AA62" s="21" t="s">
        <v>2166</v>
      </c>
      <c r="AI62">
        <f t="shared" si="0"/>
        <v>2</v>
      </c>
      <c r="AJ62">
        <f t="shared" si="1"/>
        <v>0</v>
      </c>
      <c r="AK62">
        <f t="shared" ca="1" si="2"/>
        <v>2</v>
      </c>
      <c r="AL62">
        <f t="shared" ca="1" si="3"/>
        <v>0</v>
      </c>
      <c r="AM62">
        <f t="shared" ca="1" si="4"/>
        <v>0</v>
      </c>
      <c r="AN62">
        <f t="shared" ca="1" si="5"/>
        <v>1</v>
      </c>
      <c r="AO62">
        <f t="shared" ca="1" si="6"/>
        <v>0</v>
      </c>
      <c r="AP62">
        <f t="shared" ca="1" si="7"/>
        <v>0</v>
      </c>
      <c r="AQ62">
        <f t="shared" ca="1" si="8"/>
        <v>0</v>
      </c>
      <c r="AR62">
        <f t="shared" ca="1" si="9"/>
        <v>0.5</v>
      </c>
      <c r="AS62">
        <f t="shared" si="10"/>
        <v>0.16666666666666666</v>
      </c>
    </row>
    <row r="63" spans="1:45" x14ac:dyDescent="0.3">
      <c r="A63" s="1">
        <v>89</v>
      </c>
      <c r="B63" s="2" t="s">
        <v>94</v>
      </c>
      <c r="C63" t="s">
        <v>267</v>
      </c>
      <c r="D63">
        <v>2017</v>
      </c>
      <c r="E63">
        <v>6</v>
      </c>
      <c r="F63">
        <v>1</v>
      </c>
      <c r="G63" t="s">
        <v>561</v>
      </c>
      <c r="H63" t="s">
        <v>618</v>
      </c>
      <c r="I63" t="s">
        <v>940</v>
      </c>
      <c r="Z63" s="23" t="s">
        <v>2168</v>
      </c>
      <c r="AI63">
        <f t="shared" si="0"/>
        <v>0</v>
      </c>
      <c r="AJ63">
        <f t="shared" si="1"/>
        <v>1</v>
      </c>
      <c r="AK63">
        <f t="shared" ca="1" si="2"/>
        <v>0</v>
      </c>
      <c r="AL63">
        <f t="shared" ca="1" si="3"/>
        <v>1</v>
      </c>
      <c r="AM63">
        <f t="shared" ca="1" si="4"/>
        <v>0</v>
      </c>
      <c r="AN63">
        <f t="shared" ca="1" si="5"/>
        <v>0</v>
      </c>
      <c r="AO63">
        <f t="shared" ca="1" si="6"/>
        <v>1</v>
      </c>
      <c r="AP63">
        <f t="shared" ca="1" si="7"/>
        <v>0</v>
      </c>
      <c r="AQ63">
        <f t="shared" ca="1" si="8"/>
        <v>0</v>
      </c>
      <c r="AR63">
        <f t="shared" ca="1" si="9"/>
        <v>0</v>
      </c>
      <c r="AS63">
        <f t="shared" si="10"/>
        <v>0.16666666666666666</v>
      </c>
    </row>
    <row r="64" spans="1:45" x14ac:dyDescent="0.3">
      <c r="A64" s="1">
        <v>90</v>
      </c>
      <c r="B64" s="2" t="s">
        <v>95</v>
      </c>
      <c r="C64" t="s">
        <v>268</v>
      </c>
      <c r="D64">
        <v>2017</v>
      </c>
      <c r="E64">
        <v>6</v>
      </c>
      <c r="F64">
        <v>2</v>
      </c>
      <c r="G64" t="s">
        <v>561</v>
      </c>
      <c r="H64" t="s">
        <v>619</v>
      </c>
      <c r="I64" t="s">
        <v>941</v>
      </c>
      <c r="J64" t="s">
        <v>1232</v>
      </c>
      <c r="K64" t="s">
        <v>1463</v>
      </c>
      <c r="Z64" s="21" t="s">
        <v>2166</v>
      </c>
      <c r="AA64" s="23" t="s">
        <v>2168</v>
      </c>
      <c r="AI64">
        <f t="shared" si="0"/>
        <v>1</v>
      </c>
      <c r="AJ64">
        <f t="shared" si="1"/>
        <v>1</v>
      </c>
      <c r="AK64">
        <f t="shared" ca="1" si="2"/>
        <v>1</v>
      </c>
      <c r="AL64">
        <f t="shared" ca="1" si="3"/>
        <v>1</v>
      </c>
      <c r="AM64">
        <f t="shared" ca="1" si="4"/>
        <v>0</v>
      </c>
      <c r="AN64">
        <f t="shared" ca="1" si="5"/>
        <v>0</v>
      </c>
      <c r="AO64">
        <f t="shared" ca="1" si="6"/>
        <v>0</v>
      </c>
      <c r="AP64">
        <f t="shared" ca="1" si="7"/>
        <v>0</v>
      </c>
      <c r="AQ64">
        <f t="shared" ca="1" si="8"/>
        <v>1</v>
      </c>
      <c r="AR64">
        <f t="shared" ca="1" si="9"/>
        <v>0.5</v>
      </c>
      <c r="AS64">
        <f t="shared" si="10"/>
        <v>0.16666666666666666</v>
      </c>
    </row>
    <row r="65" spans="1:45" x14ac:dyDescent="0.3">
      <c r="A65" s="1">
        <v>91</v>
      </c>
      <c r="B65" s="2" t="s">
        <v>96</v>
      </c>
      <c r="C65" t="s">
        <v>269</v>
      </c>
      <c r="D65">
        <v>2017</v>
      </c>
      <c r="E65">
        <v>6</v>
      </c>
      <c r="F65">
        <v>3</v>
      </c>
      <c r="G65" t="s">
        <v>561</v>
      </c>
      <c r="H65" t="s">
        <v>620</v>
      </c>
      <c r="I65" t="s">
        <v>942</v>
      </c>
      <c r="J65" t="s">
        <v>1233</v>
      </c>
      <c r="K65" t="s">
        <v>1464</v>
      </c>
      <c r="L65" t="s">
        <v>1665</v>
      </c>
      <c r="M65" t="s">
        <v>1818</v>
      </c>
      <c r="Z65" s="23" t="s">
        <v>2168</v>
      </c>
      <c r="AA65" s="23" t="s">
        <v>2168</v>
      </c>
      <c r="AB65" s="23" t="s">
        <v>2168</v>
      </c>
      <c r="AI65">
        <f t="shared" si="0"/>
        <v>0</v>
      </c>
      <c r="AJ65">
        <f t="shared" si="1"/>
        <v>3</v>
      </c>
      <c r="AK65">
        <f t="shared" ca="1" si="2"/>
        <v>0</v>
      </c>
      <c r="AL65">
        <f t="shared" ca="1" si="3"/>
        <v>3</v>
      </c>
      <c r="AM65">
        <f t="shared" ca="1" si="4"/>
        <v>0</v>
      </c>
      <c r="AN65">
        <f t="shared" ca="1" si="5"/>
        <v>0</v>
      </c>
      <c r="AO65">
        <f t="shared" ca="1" si="6"/>
        <v>1</v>
      </c>
      <c r="AP65">
        <f t="shared" ca="1" si="7"/>
        <v>0</v>
      </c>
      <c r="AQ65">
        <f t="shared" ca="1" si="8"/>
        <v>0</v>
      </c>
      <c r="AR65">
        <f t="shared" ca="1" si="9"/>
        <v>0</v>
      </c>
      <c r="AS65">
        <f t="shared" si="10"/>
        <v>0.16666666666666666</v>
      </c>
    </row>
    <row r="66" spans="1:45" x14ac:dyDescent="0.3">
      <c r="A66" s="1">
        <v>92</v>
      </c>
      <c r="B66" s="2" t="s">
        <v>97</v>
      </c>
      <c r="C66" t="s">
        <v>270</v>
      </c>
      <c r="D66">
        <v>2020</v>
      </c>
      <c r="E66">
        <v>6</v>
      </c>
      <c r="F66">
        <v>3</v>
      </c>
      <c r="G66" t="s">
        <v>561</v>
      </c>
      <c r="H66" t="s">
        <v>621</v>
      </c>
      <c r="I66" t="s">
        <v>943</v>
      </c>
      <c r="J66" t="s">
        <v>1234</v>
      </c>
      <c r="K66" t="s">
        <v>1465</v>
      </c>
      <c r="L66" t="s">
        <v>1666</v>
      </c>
      <c r="M66" t="s">
        <v>1819</v>
      </c>
      <c r="Z66" s="21" t="s">
        <v>2166</v>
      </c>
      <c r="AA66" s="22" t="s">
        <v>2167</v>
      </c>
      <c r="AB66" s="23" t="s">
        <v>2168</v>
      </c>
      <c r="AI66">
        <f t="shared" si="0"/>
        <v>1</v>
      </c>
      <c r="AJ66">
        <f t="shared" si="1"/>
        <v>1</v>
      </c>
      <c r="AK66">
        <f t="shared" ca="1" si="2"/>
        <v>1</v>
      </c>
      <c r="AL66">
        <f t="shared" ca="1" si="3"/>
        <v>1</v>
      </c>
      <c r="AM66">
        <f t="shared" ca="1" si="4"/>
        <v>1</v>
      </c>
      <c r="AN66">
        <f t="shared" ca="1" si="5"/>
        <v>0</v>
      </c>
      <c r="AO66">
        <f t="shared" ca="1" si="6"/>
        <v>0</v>
      </c>
      <c r="AP66">
        <f t="shared" ca="1" si="7"/>
        <v>1</v>
      </c>
      <c r="AQ66">
        <f t="shared" ca="1" si="8"/>
        <v>1</v>
      </c>
      <c r="AR66">
        <f t="shared" ca="1" si="9"/>
        <v>0.33333333333333331</v>
      </c>
      <c r="AS66">
        <f t="shared" si="10"/>
        <v>0.16666666666666666</v>
      </c>
    </row>
    <row r="67" spans="1:45" x14ac:dyDescent="0.3">
      <c r="A67" s="1">
        <v>93</v>
      </c>
      <c r="B67" s="2" t="s">
        <v>98</v>
      </c>
      <c r="C67" t="s">
        <v>271</v>
      </c>
      <c r="D67">
        <v>2021</v>
      </c>
      <c r="E67">
        <v>6</v>
      </c>
      <c r="F67">
        <v>2</v>
      </c>
      <c r="G67" t="s">
        <v>561</v>
      </c>
      <c r="H67" t="s">
        <v>622</v>
      </c>
      <c r="I67" t="s">
        <v>944</v>
      </c>
      <c r="J67" t="s">
        <v>1235</v>
      </c>
      <c r="K67" t="s">
        <v>1466</v>
      </c>
      <c r="Z67" s="22" t="s">
        <v>2167</v>
      </c>
      <c r="AA67" s="22" t="s">
        <v>2167</v>
      </c>
      <c r="AI67">
        <f t="shared" ref="AI67:AI130" si="11">COUNTIF(Z67:AH67,"f")</f>
        <v>0</v>
      </c>
      <c r="AJ67">
        <f t="shared" ref="AJ67:AJ130" si="12">COUNTIF(Z67:AI67,"m")</f>
        <v>0</v>
      </c>
      <c r="AK67">
        <f t="shared" ref="AK67:AK130" ca="1" si="13">CountCellsByColor(Z67:AH67,$Z$2)</f>
        <v>0</v>
      </c>
      <c r="AL67">
        <f t="shared" ref="AL67:AL130" ca="1" si="14">CountCellsByColor(Z67:AH67,$Z$4)</f>
        <v>0</v>
      </c>
      <c r="AM67">
        <f t="shared" ref="AM67:AM130" ca="1" si="15">CountCellsByColor(Z67:AH67,$Z$3)</f>
        <v>2</v>
      </c>
      <c r="AN67">
        <f t="shared" ref="AN67:AN130" ca="1" si="16">IF(AK67=F67,1,0)</f>
        <v>0</v>
      </c>
      <c r="AO67">
        <f t="shared" ref="AO67:AO130" ca="1" si="17">IF(AL67=F67,1,0)</f>
        <v>0</v>
      </c>
      <c r="AP67">
        <f t="shared" ref="AP67:AP130" ca="1" si="18">IF(AM67&gt;=1,1,0)</f>
        <v>1</v>
      </c>
      <c r="AQ67">
        <f t="shared" ref="AQ67:AQ130" ca="1" si="19">IF(AND(AN67=0, AO67=0),1,0)</f>
        <v>1</v>
      </c>
      <c r="AR67">
        <f t="shared" ref="AR67:AR130" ca="1" si="20">IF(AK67=1, 1/F67, IF(AK67 = 2, (1/F67)*(2/F67), IF(AK67 = 3, (1/F67)*(2/F67)*(3/F67), IF(AK67 = 4, (1/F67)*(2/F67)*(3/F67)*(4/F67),IF(AK67 = 5, (1/F67)*(2/F67)*(3/F67)*(4/F67)*(5/F67),IF(AK67 = 6, (1/F67)*(2/F67)*(3/F67)*(4/F67)*(5/F67)*(6/F67), 0))))))</f>
        <v>0</v>
      </c>
      <c r="AS67">
        <f t="shared" ref="AS67:AS130" si="21">1/E67</f>
        <v>0.16666666666666666</v>
      </c>
    </row>
    <row r="68" spans="1:45" x14ac:dyDescent="0.3">
      <c r="A68" s="1">
        <v>94</v>
      </c>
      <c r="B68" s="2" t="s">
        <v>99</v>
      </c>
      <c r="C68" t="s">
        <v>272</v>
      </c>
      <c r="D68">
        <v>2021</v>
      </c>
      <c r="E68">
        <v>6</v>
      </c>
      <c r="F68">
        <v>1</v>
      </c>
      <c r="G68" t="s">
        <v>561</v>
      </c>
      <c r="H68" t="s">
        <v>623</v>
      </c>
      <c r="I68" t="s">
        <v>945</v>
      </c>
      <c r="Z68" s="21" t="s">
        <v>2166</v>
      </c>
      <c r="AI68">
        <f t="shared" si="11"/>
        <v>1</v>
      </c>
      <c r="AJ68">
        <f t="shared" si="12"/>
        <v>0</v>
      </c>
      <c r="AK68">
        <f t="shared" ca="1" si="13"/>
        <v>1</v>
      </c>
      <c r="AL68">
        <f t="shared" ca="1" si="14"/>
        <v>0</v>
      </c>
      <c r="AM68">
        <f t="shared" ca="1" si="15"/>
        <v>0</v>
      </c>
      <c r="AN68">
        <f t="shared" ca="1" si="16"/>
        <v>1</v>
      </c>
      <c r="AO68">
        <f t="shared" ca="1" si="17"/>
        <v>0</v>
      </c>
      <c r="AP68">
        <f t="shared" ca="1" si="18"/>
        <v>0</v>
      </c>
      <c r="AQ68">
        <f t="shared" ca="1" si="19"/>
        <v>0</v>
      </c>
      <c r="AR68">
        <f t="shared" ca="1" si="20"/>
        <v>1</v>
      </c>
      <c r="AS68">
        <f t="shared" si="21"/>
        <v>0.16666666666666666</v>
      </c>
    </row>
    <row r="69" spans="1:45" x14ac:dyDescent="0.3">
      <c r="A69" s="1">
        <v>97</v>
      </c>
      <c r="B69" s="2" t="s">
        <v>100</v>
      </c>
      <c r="C69" t="s">
        <v>273</v>
      </c>
      <c r="D69">
        <v>2015</v>
      </c>
      <c r="E69">
        <v>5</v>
      </c>
      <c r="F69">
        <v>2</v>
      </c>
      <c r="G69" t="s">
        <v>561</v>
      </c>
      <c r="H69" t="s">
        <v>581</v>
      </c>
      <c r="I69" t="s">
        <v>903</v>
      </c>
      <c r="J69" t="s">
        <v>1207</v>
      </c>
      <c r="K69" t="s">
        <v>1439</v>
      </c>
      <c r="Z69" s="21" t="s">
        <v>2166</v>
      </c>
      <c r="AA69" s="21" t="s">
        <v>2166</v>
      </c>
      <c r="AI69">
        <f t="shared" si="11"/>
        <v>2</v>
      </c>
      <c r="AJ69">
        <f t="shared" si="12"/>
        <v>0</v>
      </c>
      <c r="AK69">
        <f t="shared" ca="1" si="13"/>
        <v>2</v>
      </c>
      <c r="AL69">
        <f t="shared" ca="1" si="14"/>
        <v>0</v>
      </c>
      <c r="AM69">
        <f t="shared" ca="1" si="15"/>
        <v>0</v>
      </c>
      <c r="AN69">
        <f t="shared" ca="1" si="16"/>
        <v>1</v>
      </c>
      <c r="AO69">
        <f t="shared" ca="1" si="17"/>
        <v>0</v>
      </c>
      <c r="AP69">
        <f t="shared" ca="1" si="18"/>
        <v>0</v>
      </c>
      <c r="AQ69">
        <f t="shared" ca="1" si="19"/>
        <v>0</v>
      </c>
      <c r="AR69">
        <f t="shared" ca="1" si="20"/>
        <v>0.5</v>
      </c>
      <c r="AS69">
        <f t="shared" si="21"/>
        <v>0.2</v>
      </c>
    </row>
    <row r="70" spans="1:45" x14ac:dyDescent="0.3">
      <c r="A70" s="1">
        <v>101</v>
      </c>
      <c r="B70" s="2" t="s">
        <v>101</v>
      </c>
      <c r="C70" t="s">
        <v>274</v>
      </c>
      <c r="D70">
        <v>2015</v>
      </c>
      <c r="E70">
        <v>5</v>
      </c>
      <c r="F70">
        <v>1</v>
      </c>
      <c r="G70" t="s">
        <v>561</v>
      </c>
      <c r="H70" t="s">
        <v>624</v>
      </c>
      <c r="I70" t="s">
        <v>946</v>
      </c>
      <c r="Z70" s="21" t="s">
        <v>2166</v>
      </c>
      <c r="AI70">
        <f t="shared" si="11"/>
        <v>1</v>
      </c>
      <c r="AJ70">
        <f t="shared" si="12"/>
        <v>0</v>
      </c>
      <c r="AK70">
        <f t="shared" ca="1" si="13"/>
        <v>1</v>
      </c>
      <c r="AL70">
        <f t="shared" ca="1" si="14"/>
        <v>0</v>
      </c>
      <c r="AM70">
        <f t="shared" ca="1" si="15"/>
        <v>0</v>
      </c>
      <c r="AN70">
        <f t="shared" ca="1" si="16"/>
        <v>1</v>
      </c>
      <c r="AO70">
        <f t="shared" ca="1" si="17"/>
        <v>0</v>
      </c>
      <c r="AP70">
        <f t="shared" ca="1" si="18"/>
        <v>0</v>
      </c>
      <c r="AQ70">
        <f t="shared" ca="1" si="19"/>
        <v>0</v>
      </c>
      <c r="AR70">
        <f t="shared" ca="1" si="20"/>
        <v>1</v>
      </c>
      <c r="AS70">
        <f t="shared" si="21"/>
        <v>0.2</v>
      </c>
    </row>
    <row r="71" spans="1:45" x14ac:dyDescent="0.3">
      <c r="A71" s="1">
        <v>103</v>
      </c>
      <c r="B71" s="2" t="s">
        <v>102</v>
      </c>
      <c r="C71" t="s">
        <v>275</v>
      </c>
      <c r="D71">
        <v>2016</v>
      </c>
      <c r="E71">
        <v>5</v>
      </c>
      <c r="F71">
        <v>1</v>
      </c>
      <c r="G71" t="s">
        <v>561</v>
      </c>
      <c r="H71" t="s">
        <v>625</v>
      </c>
      <c r="I71" t="s">
        <v>947</v>
      </c>
      <c r="Z71" s="21" t="s">
        <v>2166</v>
      </c>
      <c r="AI71">
        <f t="shared" si="11"/>
        <v>1</v>
      </c>
      <c r="AJ71">
        <f t="shared" si="12"/>
        <v>0</v>
      </c>
      <c r="AK71">
        <f t="shared" ca="1" si="13"/>
        <v>1</v>
      </c>
      <c r="AL71">
        <f t="shared" ca="1" si="14"/>
        <v>0</v>
      </c>
      <c r="AM71">
        <f t="shared" ca="1" si="15"/>
        <v>0</v>
      </c>
      <c r="AN71">
        <f t="shared" ca="1" si="16"/>
        <v>1</v>
      </c>
      <c r="AO71">
        <f t="shared" ca="1" si="17"/>
        <v>0</v>
      </c>
      <c r="AP71">
        <f t="shared" ca="1" si="18"/>
        <v>0</v>
      </c>
      <c r="AQ71">
        <f t="shared" ca="1" si="19"/>
        <v>0</v>
      </c>
      <c r="AR71">
        <f t="shared" ca="1" si="20"/>
        <v>1</v>
      </c>
      <c r="AS71">
        <f t="shared" si="21"/>
        <v>0.2</v>
      </c>
    </row>
    <row r="72" spans="1:45" x14ac:dyDescent="0.3">
      <c r="A72" s="1">
        <v>104</v>
      </c>
      <c r="B72" s="2" t="s">
        <v>103</v>
      </c>
      <c r="C72" t="s">
        <v>276</v>
      </c>
      <c r="D72">
        <v>2017</v>
      </c>
      <c r="E72">
        <v>5</v>
      </c>
      <c r="F72">
        <v>2</v>
      </c>
      <c r="G72" t="s">
        <v>561</v>
      </c>
      <c r="H72" t="s">
        <v>626</v>
      </c>
      <c r="I72" t="s">
        <v>948</v>
      </c>
      <c r="J72" t="s">
        <v>1236</v>
      </c>
      <c r="K72" t="s">
        <v>1467</v>
      </c>
      <c r="Z72" s="22" t="s">
        <v>2167</v>
      </c>
      <c r="AA72" s="23" t="s">
        <v>2168</v>
      </c>
      <c r="AI72">
        <f t="shared" si="11"/>
        <v>0</v>
      </c>
      <c r="AJ72">
        <f t="shared" si="12"/>
        <v>1</v>
      </c>
      <c r="AK72">
        <f t="shared" ca="1" si="13"/>
        <v>0</v>
      </c>
      <c r="AL72">
        <f t="shared" ca="1" si="14"/>
        <v>1</v>
      </c>
      <c r="AM72">
        <f t="shared" ca="1" si="15"/>
        <v>1</v>
      </c>
      <c r="AN72">
        <f t="shared" ca="1" si="16"/>
        <v>0</v>
      </c>
      <c r="AO72">
        <f t="shared" ca="1" si="17"/>
        <v>0</v>
      </c>
      <c r="AP72">
        <f t="shared" ca="1" si="18"/>
        <v>1</v>
      </c>
      <c r="AQ72">
        <f t="shared" ca="1" si="19"/>
        <v>1</v>
      </c>
      <c r="AR72">
        <f t="shared" ca="1" si="20"/>
        <v>0</v>
      </c>
      <c r="AS72">
        <f t="shared" si="21"/>
        <v>0.2</v>
      </c>
    </row>
    <row r="73" spans="1:45" x14ac:dyDescent="0.3">
      <c r="A73" s="1">
        <v>105</v>
      </c>
      <c r="B73" s="2" t="s">
        <v>104</v>
      </c>
      <c r="C73" t="s">
        <v>277</v>
      </c>
      <c r="D73">
        <v>2017</v>
      </c>
      <c r="E73">
        <v>5</v>
      </c>
      <c r="F73">
        <v>1</v>
      </c>
      <c r="G73" t="s">
        <v>561</v>
      </c>
      <c r="H73" t="s">
        <v>590</v>
      </c>
      <c r="I73" t="s">
        <v>912</v>
      </c>
      <c r="Z73" s="21" t="s">
        <v>2166</v>
      </c>
      <c r="AI73">
        <f t="shared" si="11"/>
        <v>1</v>
      </c>
      <c r="AJ73">
        <f t="shared" si="12"/>
        <v>0</v>
      </c>
      <c r="AK73">
        <f t="shared" ca="1" si="13"/>
        <v>1</v>
      </c>
      <c r="AL73">
        <f t="shared" ca="1" si="14"/>
        <v>0</v>
      </c>
      <c r="AM73">
        <f t="shared" ca="1" si="15"/>
        <v>0</v>
      </c>
      <c r="AN73">
        <f t="shared" ca="1" si="16"/>
        <v>1</v>
      </c>
      <c r="AO73">
        <f t="shared" ca="1" si="17"/>
        <v>0</v>
      </c>
      <c r="AP73">
        <f t="shared" ca="1" si="18"/>
        <v>0</v>
      </c>
      <c r="AQ73">
        <f t="shared" ca="1" si="19"/>
        <v>0</v>
      </c>
      <c r="AR73">
        <f t="shared" ca="1" si="20"/>
        <v>1</v>
      </c>
      <c r="AS73">
        <f t="shared" si="21"/>
        <v>0.2</v>
      </c>
    </row>
    <row r="74" spans="1:45" x14ac:dyDescent="0.3">
      <c r="A74" s="1">
        <v>106</v>
      </c>
      <c r="B74" s="2" t="s">
        <v>105</v>
      </c>
      <c r="C74" t="s">
        <v>278</v>
      </c>
      <c r="D74">
        <v>2017</v>
      </c>
      <c r="E74">
        <v>5</v>
      </c>
      <c r="F74">
        <v>3</v>
      </c>
      <c r="G74" t="s">
        <v>561</v>
      </c>
      <c r="H74" t="s">
        <v>627</v>
      </c>
      <c r="I74" t="s">
        <v>949</v>
      </c>
      <c r="J74" t="s">
        <v>1237</v>
      </c>
      <c r="K74" t="s">
        <v>1468</v>
      </c>
      <c r="L74" t="s">
        <v>1667</v>
      </c>
      <c r="M74" t="s">
        <v>1820</v>
      </c>
      <c r="Z74" s="21" t="s">
        <v>2166</v>
      </c>
      <c r="AA74" s="23" t="s">
        <v>2168</v>
      </c>
      <c r="AB74" s="21" t="s">
        <v>2166</v>
      </c>
      <c r="AI74">
        <f t="shared" si="11"/>
        <v>2</v>
      </c>
      <c r="AJ74">
        <f t="shared" si="12"/>
        <v>1</v>
      </c>
      <c r="AK74">
        <f t="shared" ca="1" si="13"/>
        <v>2</v>
      </c>
      <c r="AL74">
        <f t="shared" ca="1" si="14"/>
        <v>1</v>
      </c>
      <c r="AM74">
        <f t="shared" ca="1" si="15"/>
        <v>0</v>
      </c>
      <c r="AN74">
        <f t="shared" ca="1" si="16"/>
        <v>0</v>
      </c>
      <c r="AO74">
        <f t="shared" ca="1" si="17"/>
        <v>0</v>
      </c>
      <c r="AP74">
        <f t="shared" ca="1" si="18"/>
        <v>0</v>
      </c>
      <c r="AQ74">
        <f t="shared" ca="1" si="19"/>
        <v>1</v>
      </c>
      <c r="AR74">
        <f t="shared" ca="1" si="20"/>
        <v>0.22222222222222221</v>
      </c>
      <c r="AS74">
        <f t="shared" si="21"/>
        <v>0.2</v>
      </c>
    </row>
    <row r="75" spans="1:45" x14ac:dyDescent="0.3">
      <c r="A75" s="1">
        <v>107</v>
      </c>
      <c r="B75" s="2" t="s">
        <v>106</v>
      </c>
      <c r="C75" t="s">
        <v>279</v>
      </c>
      <c r="D75">
        <v>2017</v>
      </c>
      <c r="E75">
        <v>5</v>
      </c>
      <c r="F75">
        <v>1</v>
      </c>
      <c r="G75" t="s">
        <v>561</v>
      </c>
      <c r="H75" t="s">
        <v>628</v>
      </c>
      <c r="I75" t="s">
        <v>950</v>
      </c>
      <c r="Z75" s="21" t="s">
        <v>2166</v>
      </c>
      <c r="AI75">
        <f t="shared" si="11"/>
        <v>1</v>
      </c>
      <c r="AJ75">
        <f t="shared" si="12"/>
        <v>0</v>
      </c>
      <c r="AK75">
        <f t="shared" ca="1" si="13"/>
        <v>1</v>
      </c>
      <c r="AL75">
        <f t="shared" ca="1" si="14"/>
        <v>0</v>
      </c>
      <c r="AM75">
        <f t="shared" ca="1" si="15"/>
        <v>0</v>
      </c>
      <c r="AN75">
        <f t="shared" ca="1" si="16"/>
        <v>1</v>
      </c>
      <c r="AO75">
        <f t="shared" ca="1" si="17"/>
        <v>0</v>
      </c>
      <c r="AP75">
        <f t="shared" ca="1" si="18"/>
        <v>0</v>
      </c>
      <c r="AQ75">
        <f t="shared" ca="1" si="19"/>
        <v>0</v>
      </c>
      <c r="AR75">
        <f t="shared" ca="1" si="20"/>
        <v>1</v>
      </c>
      <c r="AS75">
        <f t="shared" si="21"/>
        <v>0.2</v>
      </c>
    </row>
    <row r="76" spans="1:45" x14ac:dyDescent="0.3">
      <c r="A76" s="1">
        <v>108</v>
      </c>
      <c r="B76" s="2" t="s">
        <v>107</v>
      </c>
      <c r="C76" t="s">
        <v>280</v>
      </c>
      <c r="D76">
        <v>2018</v>
      </c>
      <c r="E76">
        <v>5</v>
      </c>
      <c r="F76">
        <v>1</v>
      </c>
      <c r="G76" t="s">
        <v>561</v>
      </c>
      <c r="H76" t="s">
        <v>629</v>
      </c>
      <c r="I76" t="s">
        <v>951</v>
      </c>
      <c r="Z76" s="23" t="s">
        <v>2168</v>
      </c>
      <c r="AI76">
        <f t="shared" si="11"/>
        <v>0</v>
      </c>
      <c r="AJ76">
        <f t="shared" si="12"/>
        <v>1</v>
      </c>
      <c r="AK76">
        <f t="shared" ca="1" si="13"/>
        <v>0</v>
      </c>
      <c r="AL76">
        <f t="shared" ca="1" si="14"/>
        <v>1</v>
      </c>
      <c r="AM76">
        <f t="shared" ca="1" si="15"/>
        <v>0</v>
      </c>
      <c r="AN76">
        <f t="shared" ca="1" si="16"/>
        <v>0</v>
      </c>
      <c r="AO76">
        <f t="shared" ca="1" si="17"/>
        <v>1</v>
      </c>
      <c r="AP76">
        <f t="shared" ca="1" si="18"/>
        <v>0</v>
      </c>
      <c r="AQ76">
        <f t="shared" ca="1" si="19"/>
        <v>0</v>
      </c>
      <c r="AR76">
        <f t="shared" ca="1" si="20"/>
        <v>0</v>
      </c>
      <c r="AS76">
        <f t="shared" si="21"/>
        <v>0.2</v>
      </c>
    </row>
    <row r="77" spans="1:45" x14ac:dyDescent="0.3">
      <c r="A77" s="1">
        <v>109</v>
      </c>
      <c r="B77" s="2" t="s">
        <v>108</v>
      </c>
      <c r="C77" t="s">
        <v>281</v>
      </c>
      <c r="D77">
        <v>2018</v>
      </c>
      <c r="E77">
        <v>5</v>
      </c>
      <c r="F77">
        <v>1</v>
      </c>
      <c r="G77" t="s">
        <v>561</v>
      </c>
      <c r="H77" t="s">
        <v>630</v>
      </c>
      <c r="I77" t="s">
        <v>952</v>
      </c>
      <c r="Z77" s="23" t="s">
        <v>2168</v>
      </c>
      <c r="AI77">
        <f t="shared" si="11"/>
        <v>0</v>
      </c>
      <c r="AJ77">
        <f t="shared" si="12"/>
        <v>1</v>
      </c>
      <c r="AK77">
        <f t="shared" ca="1" si="13"/>
        <v>0</v>
      </c>
      <c r="AL77">
        <f t="shared" ca="1" si="14"/>
        <v>1</v>
      </c>
      <c r="AM77">
        <f t="shared" ca="1" si="15"/>
        <v>0</v>
      </c>
      <c r="AN77">
        <f t="shared" ca="1" si="16"/>
        <v>0</v>
      </c>
      <c r="AO77">
        <f t="shared" ca="1" si="17"/>
        <v>1</v>
      </c>
      <c r="AP77">
        <f t="shared" ca="1" si="18"/>
        <v>0</v>
      </c>
      <c r="AQ77">
        <f t="shared" ca="1" si="19"/>
        <v>0</v>
      </c>
      <c r="AR77">
        <f t="shared" ca="1" si="20"/>
        <v>0</v>
      </c>
      <c r="AS77">
        <f t="shared" si="21"/>
        <v>0.2</v>
      </c>
    </row>
    <row r="78" spans="1:45" x14ac:dyDescent="0.3">
      <c r="A78" s="1">
        <v>110</v>
      </c>
      <c r="B78" s="2" t="s">
        <v>109</v>
      </c>
      <c r="C78" t="s">
        <v>282</v>
      </c>
      <c r="D78">
        <v>2018</v>
      </c>
      <c r="E78">
        <v>5</v>
      </c>
      <c r="F78">
        <v>1</v>
      </c>
      <c r="G78" t="s">
        <v>561</v>
      </c>
      <c r="H78" t="s">
        <v>631</v>
      </c>
      <c r="I78" t="s">
        <v>953</v>
      </c>
      <c r="Z78" s="23" t="s">
        <v>2168</v>
      </c>
      <c r="AI78">
        <f t="shared" si="11"/>
        <v>0</v>
      </c>
      <c r="AJ78">
        <f t="shared" si="12"/>
        <v>1</v>
      </c>
      <c r="AK78">
        <f t="shared" ca="1" si="13"/>
        <v>0</v>
      </c>
      <c r="AL78">
        <f t="shared" ca="1" si="14"/>
        <v>1</v>
      </c>
      <c r="AM78">
        <f t="shared" ca="1" si="15"/>
        <v>0</v>
      </c>
      <c r="AN78">
        <f t="shared" ca="1" si="16"/>
        <v>0</v>
      </c>
      <c r="AO78">
        <f t="shared" ca="1" si="17"/>
        <v>1</v>
      </c>
      <c r="AP78">
        <f t="shared" ca="1" si="18"/>
        <v>0</v>
      </c>
      <c r="AQ78">
        <f t="shared" ca="1" si="19"/>
        <v>0</v>
      </c>
      <c r="AR78">
        <f t="shared" ca="1" si="20"/>
        <v>0</v>
      </c>
      <c r="AS78">
        <f t="shared" si="21"/>
        <v>0.2</v>
      </c>
    </row>
    <row r="79" spans="1:45" x14ac:dyDescent="0.3">
      <c r="A79" s="1">
        <v>111</v>
      </c>
      <c r="B79" s="2" t="s">
        <v>110</v>
      </c>
      <c r="C79" t="s">
        <v>283</v>
      </c>
      <c r="D79">
        <v>2020</v>
      </c>
      <c r="E79">
        <v>5</v>
      </c>
      <c r="F79">
        <v>3</v>
      </c>
      <c r="G79" t="s">
        <v>561</v>
      </c>
      <c r="H79" t="s">
        <v>632</v>
      </c>
      <c r="I79" t="s">
        <v>954</v>
      </c>
      <c r="J79" t="s">
        <v>1238</v>
      </c>
      <c r="K79" t="s">
        <v>1469</v>
      </c>
      <c r="L79" t="s">
        <v>1668</v>
      </c>
      <c r="M79" t="s">
        <v>1821</v>
      </c>
      <c r="Z79" s="22" t="s">
        <v>2167</v>
      </c>
      <c r="AA79" s="22" t="s">
        <v>2167</v>
      </c>
      <c r="AB79" s="22" t="s">
        <v>2167</v>
      </c>
      <c r="AI79">
        <f t="shared" si="11"/>
        <v>0</v>
      </c>
      <c r="AJ79">
        <f t="shared" si="12"/>
        <v>0</v>
      </c>
      <c r="AK79">
        <f t="shared" ca="1" si="13"/>
        <v>0</v>
      </c>
      <c r="AL79">
        <f t="shared" ca="1" si="14"/>
        <v>0</v>
      </c>
      <c r="AM79">
        <f t="shared" ca="1" si="15"/>
        <v>3</v>
      </c>
      <c r="AN79">
        <f t="shared" ca="1" si="16"/>
        <v>0</v>
      </c>
      <c r="AO79">
        <f t="shared" ca="1" si="17"/>
        <v>0</v>
      </c>
      <c r="AP79">
        <f t="shared" ca="1" si="18"/>
        <v>1</v>
      </c>
      <c r="AQ79">
        <f t="shared" ca="1" si="19"/>
        <v>1</v>
      </c>
      <c r="AR79">
        <f t="shared" ca="1" si="20"/>
        <v>0</v>
      </c>
      <c r="AS79">
        <f t="shared" si="21"/>
        <v>0.2</v>
      </c>
    </row>
    <row r="80" spans="1:45" x14ac:dyDescent="0.3">
      <c r="A80" s="1">
        <v>113</v>
      </c>
      <c r="B80" s="2" t="s">
        <v>111</v>
      </c>
      <c r="C80" t="s">
        <v>284</v>
      </c>
      <c r="D80">
        <v>2021</v>
      </c>
      <c r="E80">
        <v>5</v>
      </c>
      <c r="F80">
        <v>4</v>
      </c>
      <c r="G80" t="s">
        <v>561</v>
      </c>
      <c r="H80" t="s">
        <v>633</v>
      </c>
      <c r="I80" t="s">
        <v>955</v>
      </c>
      <c r="J80" t="s">
        <v>1239</v>
      </c>
      <c r="K80" t="s">
        <v>1470</v>
      </c>
      <c r="L80" t="s">
        <v>1669</v>
      </c>
      <c r="M80" t="s">
        <v>1822</v>
      </c>
      <c r="N80" t="s">
        <v>1645</v>
      </c>
      <c r="O80" t="s">
        <v>1800</v>
      </c>
      <c r="Z80" s="21" t="s">
        <v>2166</v>
      </c>
      <c r="AA80" s="21" t="s">
        <v>2166</v>
      </c>
      <c r="AB80" s="23" t="s">
        <v>2168</v>
      </c>
      <c r="AC80" s="23" t="s">
        <v>2168</v>
      </c>
      <c r="AI80">
        <f t="shared" si="11"/>
        <v>2</v>
      </c>
      <c r="AJ80">
        <f t="shared" si="12"/>
        <v>2</v>
      </c>
      <c r="AK80">
        <f t="shared" ca="1" si="13"/>
        <v>2</v>
      </c>
      <c r="AL80">
        <f t="shared" ca="1" si="14"/>
        <v>2</v>
      </c>
      <c r="AM80">
        <f t="shared" ca="1" si="15"/>
        <v>0</v>
      </c>
      <c r="AN80">
        <f t="shared" ca="1" si="16"/>
        <v>0</v>
      </c>
      <c r="AO80">
        <f t="shared" ca="1" si="17"/>
        <v>0</v>
      </c>
      <c r="AP80">
        <f t="shared" ca="1" si="18"/>
        <v>0</v>
      </c>
      <c r="AQ80">
        <f t="shared" ca="1" si="19"/>
        <v>1</v>
      </c>
      <c r="AR80">
        <f t="shared" ca="1" si="20"/>
        <v>0.125</v>
      </c>
      <c r="AS80">
        <f t="shared" si="21"/>
        <v>0.2</v>
      </c>
    </row>
    <row r="81" spans="1:45" x14ac:dyDescent="0.3">
      <c r="A81" s="1">
        <v>114</v>
      </c>
      <c r="B81" s="2" t="s">
        <v>112</v>
      </c>
      <c r="C81" t="s">
        <v>285</v>
      </c>
      <c r="D81">
        <v>2021</v>
      </c>
      <c r="E81">
        <v>5</v>
      </c>
      <c r="F81">
        <v>6</v>
      </c>
      <c r="G81" t="s">
        <v>561</v>
      </c>
      <c r="H81" t="s">
        <v>566</v>
      </c>
      <c r="I81" t="s">
        <v>888</v>
      </c>
      <c r="J81" t="s">
        <v>1240</v>
      </c>
      <c r="L81" t="s">
        <v>1670</v>
      </c>
      <c r="M81" t="s">
        <v>912</v>
      </c>
      <c r="N81" t="s">
        <v>1945</v>
      </c>
      <c r="O81" t="s">
        <v>2005</v>
      </c>
      <c r="P81" t="s">
        <v>2057</v>
      </c>
      <c r="R81" t="s">
        <v>2106</v>
      </c>
      <c r="Z81" s="23" t="s">
        <v>2168</v>
      </c>
      <c r="AB81" s="21" t="s">
        <v>2166</v>
      </c>
      <c r="AC81" s="23" t="s">
        <v>2168</v>
      </c>
      <c r="AI81">
        <f t="shared" si="11"/>
        <v>1</v>
      </c>
      <c r="AJ81">
        <f t="shared" si="12"/>
        <v>2</v>
      </c>
      <c r="AK81">
        <f t="shared" ca="1" si="13"/>
        <v>1</v>
      </c>
      <c r="AL81">
        <f t="shared" ca="1" si="14"/>
        <v>2</v>
      </c>
      <c r="AM81">
        <f t="shared" ca="1" si="15"/>
        <v>0</v>
      </c>
      <c r="AN81">
        <f t="shared" ca="1" si="16"/>
        <v>0</v>
      </c>
      <c r="AO81">
        <f t="shared" ca="1" si="17"/>
        <v>0</v>
      </c>
      <c r="AP81">
        <f t="shared" ca="1" si="18"/>
        <v>0</v>
      </c>
      <c r="AQ81">
        <f t="shared" ca="1" si="19"/>
        <v>1</v>
      </c>
      <c r="AR81">
        <f t="shared" ca="1" si="20"/>
        <v>0.16666666666666666</v>
      </c>
      <c r="AS81">
        <f t="shared" si="21"/>
        <v>0.2</v>
      </c>
    </row>
    <row r="82" spans="1:45" x14ac:dyDescent="0.3">
      <c r="A82" s="1">
        <v>118</v>
      </c>
      <c r="B82" s="2" t="s">
        <v>113</v>
      </c>
      <c r="C82" t="s">
        <v>286</v>
      </c>
      <c r="D82">
        <v>2018</v>
      </c>
      <c r="E82">
        <v>4</v>
      </c>
      <c r="F82">
        <v>2</v>
      </c>
      <c r="G82" t="s">
        <v>561</v>
      </c>
      <c r="H82" t="s">
        <v>634</v>
      </c>
      <c r="I82" t="s">
        <v>956</v>
      </c>
      <c r="J82" t="s">
        <v>1241</v>
      </c>
      <c r="K82" t="s">
        <v>1471</v>
      </c>
      <c r="Z82" s="21" t="s">
        <v>2166</v>
      </c>
      <c r="AA82" s="21" t="s">
        <v>2166</v>
      </c>
      <c r="AI82">
        <f t="shared" si="11"/>
        <v>2</v>
      </c>
      <c r="AJ82">
        <f t="shared" si="12"/>
        <v>0</v>
      </c>
      <c r="AK82">
        <f t="shared" ca="1" si="13"/>
        <v>2</v>
      </c>
      <c r="AL82">
        <f t="shared" ca="1" si="14"/>
        <v>0</v>
      </c>
      <c r="AM82">
        <f t="shared" ca="1" si="15"/>
        <v>0</v>
      </c>
      <c r="AN82">
        <f t="shared" ca="1" si="16"/>
        <v>1</v>
      </c>
      <c r="AO82">
        <f t="shared" ca="1" si="17"/>
        <v>0</v>
      </c>
      <c r="AP82">
        <f t="shared" ca="1" si="18"/>
        <v>0</v>
      </c>
      <c r="AQ82">
        <f t="shared" ca="1" si="19"/>
        <v>0</v>
      </c>
      <c r="AR82">
        <f t="shared" ca="1" si="20"/>
        <v>0.5</v>
      </c>
      <c r="AS82">
        <f t="shared" si="21"/>
        <v>0.25</v>
      </c>
    </row>
    <row r="83" spans="1:45" x14ac:dyDescent="0.3">
      <c r="A83" s="1">
        <v>119</v>
      </c>
      <c r="B83" s="2" t="s">
        <v>114</v>
      </c>
      <c r="C83" t="s">
        <v>287</v>
      </c>
      <c r="D83">
        <v>2018</v>
      </c>
      <c r="E83">
        <v>4</v>
      </c>
      <c r="F83">
        <v>4</v>
      </c>
      <c r="G83" t="s">
        <v>561</v>
      </c>
      <c r="H83" t="s">
        <v>635</v>
      </c>
      <c r="I83" t="s">
        <v>957</v>
      </c>
      <c r="J83" t="s">
        <v>1242</v>
      </c>
      <c r="K83" t="s">
        <v>1472</v>
      </c>
      <c r="L83" t="s">
        <v>1671</v>
      </c>
      <c r="M83" t="s">
        <v>1823</v>
      </c>
      <c r="N83" t="s">
        <v>1946</v>
      </c>
      <c r="O83" t="s">
        <v>2006</v>
      </c>
      <c r="Z83" s="23" t="s">
        <v>2168</v>
      </c>
      <c r="AA83" s="21" t="s">
        <v>2166</v>
      </c>
      <c r="AB83" s="23" t="s">
        <v>2168</v>
      </c>
      <c r="AC83" s="23" t="s">
        <v>2168</v>
      </c>
      <c r="AI83">
        <f t="shared" si="11"/>
        <v>1</v>
      </c>
      <c r="AJ83">
        <f t="shared" si="12"/>
        <v>3</v>
      </c>
      <c r="AK83">
        <f t="shared" ca="1" si="13"/>
        <v>1</v>
      </c>
      <c r="AL83">
        <f t="shared" ca="1" si="14"/>
        <v>3</v>
      </c>
      <c r="AM83">
        <f t="shared" ca="1" si="15"/>
        <v>0</v>
      </c>
      <c r="AN83">
        <f t="shared" ca="1" si="16"/>
        <v>0</v>
      </c>
      <c r="AO83">
        <f t="shared" ca="1" si="17"/>
        <v>0</v>
      </c>
      <c r="AP83">
        <f t="shared" ca="1" si="18"/>
        <v>0</v>
      </c>
      <c r="AQ83">
        <f t="shared" ca="1" si="19"/>
        <v>1</v>
      </c>
      <c r="AR83">
        <f t="shared" ca="1" si="20"/>
        <v>0.25</v>
      </c>
      <c r="AS83">
        <f t="shared" si="21"/>
        <v>0.25</v>
      </c>
    </row>
    <row r="84" spans="1:45" x14ac:dyDescent="0.3">
      <c r="A84" s="1">
        <v>120</v>
      </c>
      <c r="B84" s="2" t="s">
        <v>115</v>
      </c>
      <c r="C84" t="s">
        <v>288</v>
      </c>
      <c r="D84">
        <v>2018</v>
      </c>
      <c r="E84">
        <v>4</v>
      </c>
      <c r="F84">
        <v>1</v>
      </c>
      <c r="G84" t="s">
        <v>561</v>
      </c>
      <c r="H84" t="s">
        <v>570</v>
      </c>
      <c r="I84" t="s">
        <v>892</v>
      </c>
      <c r="Z84" s="23" t="s">
        <v>2168</v>
      </c>
      <c r="AI84">
        <f t="shared" si="11"/>
        <v>0</v>
      </c>
      <c r="AJ84">
        <f t="shared" si="12"/>
        <v>1</v>
      </c>
      <c r="AK84">
        <f t="shared" ca="1" si="13"/>
        <v>0</v>
      </c>
      <c r="AL84">
        <f t="shared" ca="1" si="14"/>
        <v>1</v>
      </c>
      <c r="AM84">
        <f t="shared" ca="1" si="15"/>
        <v>0</v>
      </c>
      <c r="AN84">
        <f t="shared" ca="1" si="16"/>
        <v>0</v>
      </c>
      <c r="AO84">
        <f t="shared" ca="1" si="17"/>
        <v>1</v>
      </c>
      <c r="AP84">
        <f t="shared" ca="1" si="18"/>
        <v>0</v>
      </c>
      <c r="AQ84">
        <f t="shared" ca="1" si="19"/>
        <v>0</v>
      </c>
      <c r="AR84">
        <f t="shared" ca="1" si="20"/>
        <v>0</v>
      </c>
      <c r="AS84">
        <f t="shared" si="21"/>
        <v>0.25</v>
      </c>
    </row>
    <row r="85" spans="1:45" x14ac:dyDescent="0.3">
      <c r="A85" s="1">
        <v>121</v>
      </c>
      <c r="B85" s="2" t="s">
        <v>116</v>
      </c>
      <c r="C85" t="s">
        <v>289</v>
      </c>
      <c r="D85">
        <v>2018</v>
      </c>
      <c r="E85">
        <v>4</v>
      </c>
      <c r="F85">
        <v>1</v>
      </c>
      <c r="G85" t="s">
        <v>561</v>
      </c>
      <c r="H85" t="s">
        <v>636</v>
      </c>
      <c r="I85" t="s">
        <v>958</v>
      </c>
      <c r="Z85" s="23" t="s">
        <v>2168</v>
      </c>
      <c r="AI85">
        <f t="shared" si="11"/>
        <v>0</v>
      </c>
      <c r="AJ85">
        <f t="shared" si="12"/>
        <v>1</v>
      </c>
      <c r="AK85">
        <f t="shared" ca="1" si="13"/>
        <v>0</v>
      </c>
      <c r="AL85">
        <f t="shared" ca="1" si="14"/>
        <v>1</v>
      </c>
      <c r="AM85">
        <f t="shared" ca="1" si="15"/>
        <v>0</v>
      </c>
      <c r="AN85">
        <f t="shared" ca="1" si="16"/>
        <v>0</v>
      </c>
      <c r="AO85">
        <f t="shared" ca="1" si="17"/>
        <v>1</v>
      </c>
      <c r="AP85">
        <f t="shared" ca="1" si="18"/>
        <v>0</v>
      </c>
      <c r="AQ85">
        <f t="shared" ca="1" si="19"/>
        <v>0</v>
      </c>
      <c r="AR85">
        <f t="shared" ca="1" si="20"/>
        <v>0</v>
      </c>
      <c r="AS85">
        <f t="shared" si="21"/>
        <v>0.25</v>
      </c>
    </row>
    <row r="86" spans="1:45" x14ac:dyDescent="0.3">
      <c r="A86" s="1">
        <v>122</v>
      </c>
      <c r="B86" s="2" t="s">
        <v>117</v>
      </c>
      <c r="C86" t="s">
        <v>290</v>
      </c>
      <c r="D86">
        <v>2018</v>
      </c>
      <c r="E86">
        <v>4</v>
      </c>
      <c r="F86">
        <v>1</v>
      </c>
      <c r="G86" t="s">
        <v>561</v>
      </c>
      <c r="H86" t="s">
        <v>637</v>
      </c>
      <c r="I86" t="s">
        <v>959</v>
      </c>
      <c r="Z86" s="21" t="s">
        <v>2166</v>
      </c>
      <c r="AI86">
        <f t="shared" si="11"/>
        <v>1</v>
      </c>
      <c r="AJ86">
        <f t="shared" si="12"/>
        <v>0</v>
      </c>
      <c r="AK86">
        <f t="shared" ca="1" si="13"/>
        <v>1</v>
      </c>
      <c r="AL86">
        <f t="shared" ca="1" si="14"/>
        <v>0</v>
      </c>
      <c r="AM86">
        <f t="shared" ca="1" si="15"/>
        <v>0</v>
      </c>
      <c r="AN86">
        <f t="shared" ca="1" si="16"/>
        <v>1</v>
      </c>
      <c r="AO86">
        <f t="shared" ca="1" si="17"/>
        <v>0</v>
      </c>
      <c r="AP86">
        <f t="shared" ca="1" si="18"/>
        <v>0</v>
      </c>
      <c r="AQ86">
        <f t="shared" ca="1" si="19"/>
        <v>0</v>
      </c>
      <c r="AR86">
        <f t="shared" ca="1" si="20"/>
        <v>1</v>
      </c>
      <c r="AS86">
        <f t="shared" si="21"/>
        <v>0.25</v>
      </c>
    </row>
    <row r="87" spans="1:45" x14ac:dyDescent="0.3">
      <c r="A87" s="1">
        <v>123</v>
      </c>
      <c r="B87" s="2" t="s">
        <v>118</v>
      </c>
      <c r="C87" t="s">
        <v>291</v>
      </c>
      <c r="D87">
        <v>2018</v>
      </c>
      <c r="E87">
        <v>4</v>
      </c>
      <c r="F87">
        <v>2</v>
      </c>
      <c r="G87" t="s">
        <v>561</v>
      </c>
      <c r="H87" t="s">
        <v>638</v>
      </c>
      <c r="I87" t="s">
        <v>960</v>
      </c>
      <c r="J87" t="s">
        <v>1243</v>
      </c>
      <c r="K87" t="s">
        <v>1473</v>
      </c>
      <c r="Z87" s="23" t="s">
        <v>2168</v>
      </c>
      <c r="AA87" s="21" t="s">
        <v>2166</v>
      </c>
      <c r="AI87">
        <f t="shared" si="11"/>
        <v>1</v>
      </c>
      <c r="AJ87">
        <f t="shared" si="12"/>
        <v>1</v>
      </c>
      <c r="AK87">
        <f t="shared" ca="1" si="13"/>
        <v>1</v>
      </c>
      <c r="AL87">
        <f t="shared" ca="1" si="14"/>
        <v>1</v>
      </c>
      <c r="AM87">
        <f t="shared" ca="1" si="15"/>
        <v>0</v>
      </c>
      <c r="AN87">
        <f t="shared" ca="1" si="16"/>
        <v>0</v>
      </c>
      <c r="AO87">
        <f t="shared" ca="1" si="17"/>
        <v>0</v>
      </c>
      <c r="AP87">
        <f t="shared" ca="1" si="18"/>
        <v>0</v>
      </c>
      <c r="AQ87">
        <f t="shared" ca="1" si="19"/>
        <v>1</v>
      </c>
      <c r="AR87">
        <f t="shared" ca="1" si="20"/>
        <v>0.5</v>
      </c>
      <c r="AS87">
        <f t="shared" si="21"/>
        <v>0.25</v>
      </c>
    </row>
    <row r="88" spans="1:45" x14ac:dyDescent="0.3">
      <c r="A88" s="1">
        <v>124</v>
      </c>
      <c r="B88" s="2" t="s">
        <v>119</v>
      </c>
      <c r="C88" t="s">
        <v>292</v>
      </c>
      <c r="D88">
        <v>2019</v>
      </c>
      <c r="E88">
        <v>4</v>
      </c>
      <c r="F88">
        <v>2</v>
      </c>
      <c r="G88" t="s">
        <v>561</v>
      </c>
      <c r="H88" t="s">
        <v>639</v>
      </c>
      <c r="I88" t="s">
        <v>961</v>
      </c>
      <c r="J88" t="s">
        <v>1244</v>
      </c>
      <c r="K88" t="s">
        <v>1474</v>
      </c>
      <c r="Z88" s="23" t="s">
        <v>2168</v>
      </c>
      <c r="AA88" s="21" t="s">
        <v>2166</v>
      </c>
      <c r="AI88">
        <f t="shared" si="11"/>
        <v>1</v>
      </c>
      <c r="AJ88">
        <f t="shared" si="12"/>
        <v>1</v>
      </c>
      <c r="AK88">
        <f t="shared" ca="1" si="13"/>
        <v>1</v>
      </c>
      <c r="AL88">
        <f t="shared" ca="1" si="14"/>
        <v>1</v>
      </c>
      <c r="AM88">
        <f t="shared" ca="1" si="15"/>
        <v>0</v>
      </c>
      <c r="AN88">
        <f t="shared" ca="1" si="16"/>
        <v>0</v>
      </c>
      <c r="AO88">
        <f t="shared" ca="1" si="17"/>
        <v>0</v>
      </c>
      <c r="AP88">
        <f t="shared" ca="1" si="18"/>
        <v>0</v>
      </c>
      <c r="AQ88">
        <f t="shared" ca="1" si="19"/>
        <v>1</v>
      </c>
      <c r="AR88">
        <f t="shared" ca="1" si="20"/>
        <v>0.5</v>
      </c>
      <c r="AS88">
        <f t="shared" si="21"/>
        <v>0.25</v>
      </c>
    </row>
    <row r="89" spans="1:45" x14ac:dyDescent="0.3">
      <c r="A89" s="1">
        <v>125</v>
      </c>
      <c r="B89" s="2" t="s">
        <v>120</v>
      </c>
      <c r="C89" t="s">
        <v>293</v>
      </c>
      <c r="D89">
        <v>2017</v>
      </c>
      <c r="E89">
        <v>4</v>
      </c>
      <c r="F89">
        <v>3</v>
      </c>
      <c r="G89" t="s">
        <v>561</v>
      </c>
      <c r="H89" t="s">
        <v>640</v>
      </c>
      <c r="I89" t="s">
        <v>962</v>
      </c>
      <c r="J89" t="s">
        <v>1245</v>
      </c>
      <c r="K89" t="s">
        <v>1475</v>
      </c>
      <c r="L89" t="s">
        <v>1672</v>
      </c>
      <c r="M89" t="s">
        <v>1824</v>
      </c>
      <c r="Z89" s="23" t="s">
        <v>2168</v>
      </c>
      <c r="AA89" s="21" t="s">
        <v>2166</v>
      </c>
      <c r="AB89" s="23" t="s">
        <v>2168</v>
      </c>
      <c r="AI89">
        <f t="shared" si="11"/>
        <v>1</v>
      </c>
      <c r="AJ89">
        <f t="shared" si="12"/>
        <v>2</v>
      </c>
      <c r="AK89">
        <f t="shared" ca="1" si="13"/>
        <v>1</v>
      </c>
      <c r="AL89">
        <f t="shared" ca="1" si="14"/>
        <v>2</v>
      </c>
      <c r="AM89">
        <f t="shared" ca="1" si="15"/>
        <v>0</v>
      </c>
      <c r="AN89">
        <f t="shared" ca="1" si="16"/>
        <v>0</v>
      </c>
      <c r="AO89">
        <f t="shared" ca="1" si="17"/>
        <v>0</v>
      </c>
      <c r="AP89">
        <f t="shared" ca="1" si="18"/>
        <v>0</v>
      </c>
      <c r="AQ89">
        <f t="shared" ca="1" si="19"/>
        <v>1</v>
      </c>
      <c r="AR89">
        <f t="shared" ca="1" si="20"/>
        <v>0.33333333333333331</v>
      </c>
      <c r="AS89">
        <f t="shared" si="21"/>
        <v>0.25</v>
      </c>
    </row>
    <row r="90" spans="1:45" x14ac:dyDescent="0.3">
      <c r="A90" s="1">
        <v>126</v>
      </c>
      <c r="B90" s="2" t="s">
        <v>121</v>
      </c>
      <c r="C90" t="s">
        <v>294</v>
      </c>
      <c r="D90">
        <v>2020</v>
      </c>
      <c r="E90">
        <v>4</v>
      </c>
      <c r="F90">
        <v>1</v>
      </c>
      <c r="G90" t="s">
        <v>561</v>
      </c>
      <c r="H90" t="s">
        <v>641</v>
      </c>
      <c r="I90" t="s">
        <v>963</v>
      </c>
      <c r="Z90" s="23" t="s">
        <v>2168</v>
      </c>
      <c r="AI90">
        <f t="shared" si="11"/>
        <v>0</v>
      </c>
      <c r="AJ90">
        <f t="shared" si="12"/>
        <v>1</v>
      </c>
      <c r="AK90">
        <f t="shared" ca="1" si="13"/>
        <v>0</v>
      </c>
      <c r="AL90">
        <f t="shared" ca="1" si="14"/>
        <v>1</v>
      </c>
      <c r="AM90">
        <f t="shared" ca="1" si="15"/>
        <v>0</v>
      </c>
      <c r="AN90">
        <f t="shared" ca="1" si="16"/>
        <v>0</v>
      </c>
      <c r="AO90">
        <f t="shared" ca="1" si="17"/>
        <v>1</v>
      </c>
      <c r="AP90">
        <f t="shared" ca="1" si="18"/>
        <v>0</v>
      </c>
      <c r="AQ90">
        <f t="shared" ca="1" si="19"/>
        <v>0</v>
      </c>
      <c r="AR90">
        <f t="shared" ca="1" si="20"/>
        <v>0</v>
      </c>
      <c r="AS90">
        <f t="shared" si="21"/>
        <v>0.25</v>
      </c>
    </row>
    <row r="91" spans="1:45" x14ac:dyDescent="0.3">
      <c r="A91" s="1">
        <v>128</v>
      </c>
      <c r="B91" s="2" t="s">
        <v>122</v>
      </c>
      <c r="C91" t="s">
        <v>295</v>
      </c>
      <c r="D91">
        <v>2021</v>
      </c>
      <c r="E91">
        <v>4</v>
      </c>
      <c r="F91">
        <v>2</v>
      </c>
      <c r="G91" t="s">
        <v>561</v>
      </c>
      <c r="H91" t="s">
        <v>642</v>
      </c>
      <c r="I91" t="s">
        <v>964</v>
      </c>
      <c r="J91" t="s">
        <v>1246</v>
      </c>
      <c r="K91" t="s">
        <v>1476</v>
      </c>
      <c r="Z91" s="21" t="s">
        <v>2166</v>
      </c>
      <c r="AA91" s="21" t="s">
        <v>2166</v>
      </c>
      <c r="AI91">
        <f t="shared" si="11"/>
        <v>2</v>
      </c>
      <c r="AJ91">
        <f t="shared" si="12"/>
        <v>0</v>
      </c>
      <c r="AK91">
        <f t="shared" ca="1" si="13"/>
        <v>2</v>
      </c>
      <c r="AL91">
        <f t="shared" ca="1" si="14"/>
        <v>0</v>
      </c>
      <c r="AM91">
        <f t="shared" ca="1" si="15"/>
        <v>0</v>
      </c>
      <c r="AN91">
        <f t="shared" ca="1" si="16"/>
        <v>1</v>
      </c>
      <c r="AO91">
        <f t="shared" ca="1" si="17"/>
        <v>0</v>
      </c>
      <c r="AP91">
        <f t="shared" ca="1" si="18"/>
        <v>0</v>
      </c>
      <c r="AQ91">
        <f t="shared" ca="1" si="19"/>
        <v>0</v>
      </c>
      <c r="AR91">
        <f t="shared" ca="1" si="20"/>
        <v>0.5</v>
      </c>
      <c r="AS91">
        <f t="shared" si="21"/>
        <v>0.25</v>
      </c>
    </row>
    <row r="92" spans="1:45" x14ac:dyDescent="0.3">
      <c r="A92" s="1">
        <v>129</v>
      </c>
      <c r="B92" s="2" t="s">
        <v>123</v>
      </c>
      <c r="C92" t="s">
        <v>296</v>
      </c>
      <c r="D92">
        <v>2021</v>
      </c>
      <c r="E92">
        <v>4</v>
      </c>
      <c r="F92">
        <v>7</v>
      </c>
      <c r="G92" t="s">
        <v>561</v>
      </c>
      <c r="H92" t="s">
        <v>598</v>
      </c>
      <c r="I92" t="s">
        <v>920</v>
      </c>
      <c r="J92" t="s">
        <v>1247</v>
      </c>
      <c r="L92" t="s">
        <v>1673</v>
      </c>
      <c r="M92" t="s">
        <v>1825</v>
      </c>
      <c r="N92" t="s">
        <v>1218</v>
      </c>
      <c r="O92" t="s">
        <v>1449</v>
      </c>
      <c r="P92" t="s">
        <v>2058</v>
      </c>
      <c r="R92" t="s">
        <v>2107</v>
      </c>
      <c r="T92" t="s">
        <v>2136</v>
      </c>
      <c r="Z92" s="21" t="s">
        <v>2166</v>
      </c>
      <c r="AB92" s="21" t="s">
        <v>2166</v>
      </c>
      <c r="AC92" s="21" t="s">
        <v>2166</v>
      </c>
      <c r="AI92">
        <f t="shared" si="11"/>
        <v>3</v>
      </c>
      <c r="AJ92">
        <f t="shared" si="12"/>
        <v>0</v>
      </c>
      <c r="AK92">
        <f t="shared" ca="1" si="13"/>
        <v>3</v>
      </c>
      <c r="AL92">
        <f t="shared" ca="1" si="14"/>
        <v>0</v>
      </c>
      <c r="AM92">
        <f t="shared" ca="1" si="15"/>
        <v>0</v>
      </c>
      <c r="AN92">
        <f t="shared" ca="1" si="16"/>
        <v>0</v>
      </c>
      <c r="AO92">
        <f t="shared" ca="1" si="17"/>
        <v>0</v>
      </c>
      <c r="AP92">
        <f t="shared" ca="1" si="18"/>
        <v>0</v>
      </c>
      <c r="AQ92">
        <f t="shared" ca="1" si="19"/>
        <v>1</v>
      </c>
      <c r="AR92">
        <f t="shared" ca="1" si="20"/>
        <v>1.7492711370262388E-2</v>
      </c>
      <c r="AS92">
        <f t="shared" si="21"/>
        <v>0.25</v>
      </c>
    </row>
    <row r="93" spans="1:45" x14ac:dyDescent="0.3">
      <c r="A93" s="1">
        <v>143</v>
      </c>
      <c r="B93" s="2" t="s">
        <v>124</v>
      </c>
      <c r="C93" t="s">
        <v>297</v>
      </c>
      <c r="D93">
        <v>2016</v>
      </c>
      <c r="E93">
        <v>3</v>
      </c>
      <c r="F93">
        <v>4</v>
      </c>
      <c r="G93" t="s">
        <v>561</v>
      </c>
      <c r="H93" t="s">
        <v>643</v>
      </c>
      <c r="I93" t="s">
        <v>965</v>
      </c>
      <c r="J93" t="s">
        <v>1248</v>
      </c>
      <c r="K93" t="s">
        <v>1477</v>
      </c>
      <c r="L93" t="s">
        <v>1674</v>
      </c>
      <c r="M93" t="s">
        <v>1826</v>
      </c>
      <c r="N93" t="s">
        <v>1947</v>
      </c>
      <c r="O93" t="s">
        <v>2007</v>
      </c>
      <c r="Z93" s="21" t="s">
        <v>2166</v>
      </c>
      <c r="AA93" s="23" t="s">
        <v>2168</v>
      </c>
      <c r="AB93" s="21" t="s">
        <v>2166</v>
      </c>
      <c r="AC93" s="21" t="s">
        <v>2166</v>
      </c>
      <c r="AI93">
        <f t="shared" si="11"/>
        <v>3</v>
      </c>
      <c r="AJ93">
        <f t="shared" si="12"/>
        <v>1</v>
      </c>
      <c r="AK93">
        <f t="shared" ca="1" si="13"/>
        <v>3</v>
      </c>
      <c r="AL93">
        <f t="shared" ca="1" si="14"/>
        <v>1</v>
      </c>
      <c r="AM93">
        <f t="shared" ca="1" si="15"/>
        <v>0</v>
      </c>
      <c r="AN93">
        <f t="shared" ca="1" si="16"/>
        <v>0</v>
      </c>
      <c r="AO93">
        <f t="shared" ca="1" si="17"/>
        <v>0</v>
      </c>
      <c r="AP93">
        <f t="shared" ca="1" si="18"/>
        <v>0</v>
      </c>
      <c r="AQ93">
        <f t="shared" ca="1" si="19"/>
        <v>1</v>
      </c>
      <c r="AR93">
        <f t="shared" ca="1" si="20"/>
        <v>9.375E-2</v>
      </c>
      <c r="AS93">
        <f t="shared" si="21"/>
        <v>0.33333333333333331</v>
      </c>
    </row>
    <row r="94" spans="1:45" x14ac:dyDescent="0.3">
      <c r="A94" s="1">
        <v>144</v>
      </c>
      <c r="B94" s="2" t="s">
        <v>125</v>
      </c>
      <c r="C94" t="s">
        <v>298</v>
      </c>
      <c r="D94">
        <v>2017</v>
      </c>
      <c r="E94">
        <v>3</v>
      </c>
      <c r="F94">
        <v>1</v>
      </c>
      <c r="G94" t="s">
        <v>561</v>
      </c>
      <c r="H94" t="s">
        <v>590</v>
      </c>
      <c r="I94" t="s">
        <v>912</v>
      </c>
      <c r="Z94" s="21" t="s">
        <v>2166</v>
      </c>
      <c r="AI94">
        <f t="shared" si="11"/>
        <v>1</v>
      </c>
      <c r="AJ94">
        <f t="shared" si="12"/>
        <v>0</v>
      </c>
      <c r="AK94">
        <f t="shared" ca="1" si="13"/>
        <v>1</v>
      </c>
      <c r="AL94">
        <f t="shared" ca="1" si="14"/>
        <v>0</v>
      </c>
      <c r="AM94">
        <f t="shared" ca="1" si="15"/>
        <v>0</v>
      </c>
      <c r="AN94">
        <f t="shared" ca="1" si="16"/>
        <v>1</v>
      </c>
      <c r="AO94">
        <f t="shared" ca="1" si="17"/>
        <v>0</v>
      </c>
      <c r="AP94">
        <f t="shared" ca="1" si="18"/>
        <v>0</v>
      </c>
      <c r="AQ94">
        <f t="shared" ca="1" si="19"/>
        <v>0</v>
      </c>
      <c r="AR94">
        <f t="shared" ca="1" si="20"/>
        <v>1</v>
      </c>
      <c r="AS94">
        <f t="shared" si="21"/>
        <v>0.33333333333333331</v>
      </c>
    </row>
    <row r="95" spans="1:45" x14ac:dyDescent="0.3">
      <c r="A95" s="1">
        <v>145</v>
      </c>
      <c r="B95" s="2" t="s">
        <v>126</v>
      </c>
      <c r="C95" t="s">
        <v>299</v>
      </c>
      <c r="D95">
        <v>2017</v>
      </c>
      <c r="E95">
        <v>3</v>
      </c>
      <c r="F95">
        <v>3</v>
      </c>
      <c r="G95" t="s">
        <v>561</v>
      </c>
      <c r="H95" t="s">
        <v>644</v>
      </c>
      <c r="I95" t="s">
        <v>966</v>
      </c>
      <c r="J95" t="s">
        <v>1249</v>
      </c>
      <c r="K95" t="s">
        <v>1478</v>
      </c>
      <c r="L95" t="s">
        <v>1675</v>
      </c>
      <c r="M95" t="s">
        <v>1827</v>
      </c>
      <c r="Z95" s="21" t="s">
        <v>2166</v>
      </c>
      <c r="AA95" s="21" t="s">
        <v>2166</v>
      </c>
      <c r="AB95" s="21" t="s">
        <v>2166</v>
      </c>
      <c r="AI95">
        <f t="shared" si="11"/>
        <v>3</v>
      </c>
      <c r="AJ95">
        <f t="shared" si="12"/>
        <v>0</v>
      </c>
      <c r="AK95">
        <f t="shared" ca="1" si="13"/>
        <v>3</v>
      </c>
      <c r="AL95">
        <f t="shared" ca="1" si="14"/>
        <v>0</v>
      </c>
      <c r="AM95">
        <f t="shared" ca="1" si="15"/>
        <v>0</v>
      </c>
      <c r="AN95">
        <f t="shared" ca="1" si="16"/>
        <v>1</v>
      </c>
      <c r="AO95">
        <f t="shared" ca="1" si="17"/>
        <v>0</v>
      </c>
      <c r="AP95">
        <f t="shared" ca="1" si="18"/>
        <v>0</v>
      </c>
      <c r="AQ95">
        <f t="shared" ca="1" si="19"/>
        <v>0</v>
      </c>
      <c r="AR95">
        <f t="shared" ca="1" si="20"/>
        <v>0.22222222222222221</v>
      </c>
      <c r="AS95">
        <f t="shared" si="21"/>
        <v>0.33333333333333331</v>
      </c>
    </row>
    <row r="96" spans="1:45" x14ac:dyDescent="0.3">
      <c r="A96" s="1">
        <v>146</v>
      </c>
      <c r="B96" s="2" t="s">
        <v>127</v>
      </c>
      <c r="C96" t="s">
        <v>300</v>
      </c>
      <c r="D96">
        <v>2017</v>
      </c>
      <c r="E96">
        <v>3</v>
      </c>
      <c r="F96">
        <v>5</v>
      </c>
      <c r="G96" t="s">
        <v>561</v>
      </c>
      <c r="H96" t="s">
        <v>645</v>
      </c>
      <c r="I96" t="s">
        <v>967</v>
      </c>
      <c r="J96" t="s">
        <v>1250</v>
      </c>
      <c r="K96" t="s">
        <v>1479</v>
      </c>
      <c r="L96" t="s">
        <v>1676</v>
      </c>
      <c r="M96" t="s">
        <v>1828</v>
      </c>
      <c r="N96" t="s">
        <v>1948</v>
      </c>
      <c r="O96" t="s">
        <v>2008</v>
      </c>
      <c r="P96" t="s">
        <v>2059</v>
      </c>
      <c r="Q96" t="s">
        <v>2085</v>
      </c>
      <c r="Z96" s="21" t="s">
        <v>2166</v>
      </c>
      <c r="AA96" s="21" t="s">
        <v>2166</v>
      </c>
      <c r="AB96" s="21" t="s">
        <v>2166</v>
      </c>
      <c r="AC96" s="23" t="s">
        <v>2168</v>
      </c>
      <c r="AD96" s="23" t="s">
        <v>2168</v>
      </c>
      <c r="AI96">
        <f t="shared" si="11"/>
        <v>3</v>
      </c>
      <c r="AJ96">
        <f t="shared" si="12"/>
        <v>2</v>
      </c>
      <c r="AK96">
        <f t="shared" ca="1" si="13"/>
        <v>3</v>
      </c>
      <c r="AL96">
        <f t="shared" ca="1" si="14"/>
        <v>2</v>
      </c>
      <c r="AM96">
        <f t="shared" ca="1" si="15"/>
        <v>0</v>
      </c>
      <c r="AN96">
        <f t="shared" ca="1" si="16"/>
        <v>0</v>
      </c>
      <c r="AO96">
        <f t="shared" ca="1" si="17"/>
        <v>0</v>
      </c>
      <c r="AP96">
        <f t="shared" ca="1" si="18"/>
        <v>0</v>
      </c>
      <c r="AQ96">
        <f t="shared" ca="1" si="19"/>
        <v>1</v>
      </c>
      <c r="AR96">
        <f t="shared" ca="1" si="20"/>
        <v>4.8000000000000008E-2</v>
      </c>
      <c r="AS96">
        <f t="shared" si="21"/>
        <v>0.33333333333333331</v>
      </c>
    </row>
    <row r="97" spans="1:45" x14ac:dyDescent="0.3">
      <c r="A97" s="1">
        <v>147</v>
      </c>
      <c r="B97" s="2" t="s">
        <v>128</v>
      </c>
      <c r="C97" t="s">
        <v>301</v>
      </c>
      <c r="D97">
        <v>2018</v>
      </c>
      <c r="E97">
        <v>3</v>
      </c>
      <c r="F97">
        <v>6</v>
      </c>
      <c r="G97" t="s">
        <v>561</v>
      </c>
      <c r="H97" t="s">
        <v>646</v>
      </c>
      <c r="I97" t="s">
        <v>968</v>
      </c>
      <c r="J97" t="s">
        <v>1251</v>
      </c>
      <c r="K97" t="s">
        <v>1480</v>
      </c>
      <c r="L97" t="s">
        <v>1677</v>
      </c>
      <c r="M97" t="s">
        <v>1829</v>
      </c>
      <c r="N97" t="s">
        <v>1949</v>
      </c>
      <c r="O97" t="s">
        <v>2009</v>
      </c>
      <c r="P97" t="s">
        <v>2060</v>
      </c>
      <c r="Q97" t="s">
        <v>2086</v>
      </c>
      <c r="R97" t="s">
        <v>2108</v>
      </c>
      <c r="S97" t="s">
        <v>2124</v>
      </c>
      <c r="Z97" s="23" t="s">
        <v>2168</v>
      </c>
      <c r="AA97" s="21" t="s">
        <v>2166</v>
      </c>
      <c r="AB97" s="21" t="s">
        <v>2166</v>
      </c>
      <c r="AC97" s="21" t="s">
        <v>2166</v>
      </c>
      <c r="AD97" s="23" t="s">
        <v>2168</v>
      </c>
      <c r="AE97" s="21" t="s">
        <v>2166</v>
      </c>
      <c r="AI97">
        <f t="shared" si="11"/>
        <v>4</v>
      </c>
      <c r="AJ97">
        <f t="shared" si="12"/>
        <v>2</v>
      </c>
      <c r="AK97">
        <f t="shared" ca="1" si="13"/>
        <v>4</v>
      </c>
      <c r="AL97">
        <f t="shared" ca="1" si="14"/>
        <v>2</v>
      </c>
      <c r="AM97">
        <f t="shared" ca="1" si="15"/>
        <v>0</v>
      </c>
      <c r="AN97">
        <f t="shared" ca="1" si="16"/>
        <v>0</v>
      </c>
      <c r="AO97">
        <f t="shared" ca="1" si="17"/>
        <v>0</v>
      </c>
      <c r="AP97">
        <f t="shared" ca="1" si="18"/>
        <v>0</v>
      </c>
      <c r="AQ97">
        <f t="shared" ca="1" si="19"/>
        <v>1</v>
      </c>
      <c r="AR97">
        <f t="shared" ca="1" si="20"/>
        <v>1.8518518518518517E-2</v>
      </c>
      <c r="AS97">
        <f t="shared" si="21"/>
        <v>0.33333333333333331</v>
      </c>
    </row>
    <row r="98" spans="1:45" x14ac:dyDescent="0.3">
      <c r="A98" s="1">
        <v>148</v>
      </c>
      <c r="B98" s="2" t="s">
        <v>129</v>
      </c>
      <c r="C98" t="s">
        <v>302</v>
      </c>
      <c r="D98">
        <v>2018</v>
      </c>
      <c r="E98">
        <v>3</v>
      </c>
      <c r="F98">
        <v>4</v>
      </c>
      <c r="G98" t="s">
        <v>561</v>
      </c>
      <c r="H98" t="s">
        <v>647</v>
      </c>
      <c r="I98" t="s">
        <v>969</v>
      </c>
      <c r="J98" t="s">
        <v>1252</v>
      </c>
      <c r="K98" t="s">
        <v>1481</v>
      </c>
      <c r="L98" t="s">
        <v>1678</v>
      </c>
      <c r="M98" t="s">
        <v>1830</v>
      </c>
      <c r="N98" t="s">
        <v>1950</v>
      </c>
      <c r="O98" t="s">
        <v>2010</v>
      </c>
      <c r="Z98" s="23" t="s">
        <v>2168</v>
      </c>
      <c r="AA98" s="23" t="s">
        <v>2168</v>
      </c>
      <c r="AB98" s="23" t="s">
        <v>2168</v>
      </c>
      <c r="AC98" s="23" t="s">
        <v>2168</v>
      </c>
      <c r="AI98">
        <f t="shared" si="11"/>
        <v>0</v>
      </c>
      <c r="AJ98">
        <f t="shared" si="12"/>
        <v>4</v>
      </c>
      <c r="AK98">
        <f t="shared" ca="1" si="13"/>
        <v>0</v>
      </c>
      <c r="AL98">
        <f t="shared" ca="1" si="14"/>
        <v>4</v>
      </c>
      <c r="AM98">
        <f t="shared" ca="1" si="15"/>
        <v>0</v>
      </c>
      <c r="AN98">
        <f t="shared" ca="1" si="16"/>
        <v>0</v>
      </c>
      <c r="AO98">
        <f t="shared" ca="1" si="17"/>
        <v>1</v>
      </c>
      <c r="AP98">
        <f t="shared" ca="1" si="18"/>
        <v>0</v>
      </c>
      <c r="AQ98">
        <f t="shared" ca="1" si="19"/>
        <v>0</v>
      </c>
      <c r="AR98">
        <f t="shared" ca="1" si="20"/>
        <v>0</v>
      </c>
      <c r="AS98">
        <f t="shared" si="21"/>
        <v>0.33333333333333331</v>
      </c>
    </row>
    <row r="99" spans="1:45" x14ac:dyDescent="0.3">
      <c r="A99" s="1">
        <v>149</v>
      </c>
      <c r="B99" s="2" t="s">
        <v>130</v>
      </c>
      <c r="C99" t="s">
        <v>303</v>
      </c>
      <c r="D99">
        <v>2018</v>
      </c>
      <c r="E99">
        <v>3</v>
      </c>
      <c r="F99">
        <v>2</v>
      </c>
      <c r="G99" t="s">
        <v>561</v>
      </c>
      <c r="H99" t="s">
        <v>648</v>
      </c>
      <c r="I99" t="s">
        <v>970</v>
      </c>
      <c r="J99" t="s">
        <v>1253</v>
      </c>
      <c r="K99" t="s">
        <v>1482</v>
      </c>
      <c r="Z99" s="21" t="s">
        <v>2166</v>
      </c>
      <c r="AA99" s="21" t="s">
        <v>2166</v>
      </c>
      <c r="AI99">
        <f t="shared" si="11"/>
        <v>2</v>
      </c>
      <c r="AJ99">
        <f t="shared" si="12"/>
        <v>0</v>
      </c>
      <c r="AK99">
        <f t="shared" ca="1" si="13"/>
        <v>2</v>
      </c>
      <c r="AL99">
        <f t="shared" ca="1" si="14"/>
        <v>0</v>
      </c>
      <c r="AM99">
        <f t="shared" ca="1" si="15"/>
        <v>0</v>
      </c>
      <c r="AN99">
        <f t="shared" ca="1" si="16"/>
        <v>1</v>
      </c>
      <c r="AO99">
        <f t="shared" ca="1" si="17"/>
        <v>0</v>
      </c>
      <c r="AP99">
        <f t="shared" ca="1" si="18"/>
        <v>0</v>
      </c>
      <c r="AQ99">
        <f t="shared" ca="1" si="19"/>
        <v>0</v>
      </c>
      <c r="AR99">
        <f t="shared" ca="1" si="20"/>
        <v>0.5</v>
      </c>
      <c r="AS99">
        <f t="shared" si="21"/>
        <v>0.33333333333333331</v>
      </c>
    </row>
    <row r="100" spans="1:45" x14ac:dyDescent="0.3">
      <c r="A100" s="1">
        <v>150</v>
      </c>
      <c r="B100" s="2" t="s">
        <v>131</v>
      </c>
      <c r="C100" t="s">
        <v>304</v>
      </c>
      <c r="D100">
        <v>2019</v>
      </c>
      <c r="E100">
        <v>3</v>
      </c>
      <c r="F100">
        <v>1</v>
      </c>
      <c r="G100" t="s">
        <v>561</v>
      </c>
      <c r="H100" t="s">
        <v>629</v>
      </c>
      <c r="I100" t="s">
        <v>951</v>
      </c>
      <c r="Z100" s="23" t="s">
        <v>2168</v>
      </c>
      <c r="AI100">
        <f t="shared" si="11"/>
        <v>0</v>
      </c>
      <c r="AJ100">
        <f t="shared" si="12"/>
        <v>1</v>
      </c>
      <c r="AK100">
        <f t="shared" ca="1" si="13"/>
        <v>0</v>
      </c>
      <c r="AL100">
        <f t="shared" ca="1" si="14"/>
        <v>1</v>
      </c>
      <c r="AM100">
        <f t="shared" ca="1" si="15"/>
        <v>0</v>
      </c>
      <c r="AN100">
        <f t="shared" ca="1" si="16"/>
        <v>0</v>
      </c>
      <c r="AO100">
        <f t="shared" ca="1" si="17"/>
        <v>1</v>
      </c>
      <c r="AP100">
        <f t="shared" ca="1" si="18"/>
        <v>0</v>
      </c>
      <c r="AQ100">
        <f t="shared" ca="1" si="19"/>
        <v>0</v>
      </c>
      <c r="AR100">
        <f t="shared" ca="1" si="20"/>
        <v>0</v>
      </c>
      <c r="AS100">
        <f t="shared" si="21"/>
        <v>0.33333333333333331</v>
      </c>
    </row>
    <row r="101" spans="1:45" x14ac:dyDescent="0.3">
      <c r="A101" s="1">
        <v>151</v>
      </c>
      <c r="B101" s="2" t="s">
        <v>132</v>
      </c>
      <c r="C101" t="s">
        <v>305</v>
      </c>
      <c r="D101">
        <v>2019</v>
      </c>
      <c r="E101">
        <v>3</v>
      </c>
      <c r="F101">
        <v>2</v>
      </c>
      <c r="G101" t="s">
        <v>561</v>
      </c>
      <c r="H101" t="s">
        <v>649</v>
      </c>
      <c r="I101" t="s">
        <v>971</v>
      </c>
      <c r="J101" t="s">
        <v>1254</v>
      </c>
      <c r="K101" t="s">
        <v>1483</v>
      </c>
      <c r="Z101" s="21" t="s">
        <v>2166</v>
      </c>
      <c r="AA101" s="21" t="s">
        <v>2166</v>
      </c>
      <c r="AI101">
        <f t="shared" si="11"/>
        <v>2</v>
      </c>
      <c r="AJ101">
        <f t="shared" si="12"/>
        <v>0</v>
      </c>
      <c r="AK101">
        <f t="shared" ca="1" si="13"/>
        <v>2</v>
      </c>
      <c r="AL101">
        <f t="shared" ca="1" si="14"/>
        <v>0</v>
      </c>
      <c r="AM101">
        <f t="shared" ca="1" si="15"/>
        <v>0</v>
      </c>
      <c r="AN101">
        <f t="shared" ca="1" si="16"/>
        <v>1</v>
      </c>
      <c r="AO101">
        <f t="shared" ca="1" si="17"/>
        <v>0</v>
      </c>
      <c r="AP101">
        <f t="shared" ca="1" si="18"/>
        <v>0</v>
      </c>
      <c r="AQ101">
        <f t="shared" ca="1" si="19"/>
        <v>0</v>
      </c>
      <c r="AR101">
        <f t="shared" ca="1" si="20"/>
        <v>0.5</v>
      </c>
      <c r="AS101">
        <f t="shared" si="21"/>
        <v>0.33333333333333331</v>
      </c>
    </row>
    <row r="102" spans="1:45" x14ac:dyDescent="0.3">
      <c r="A102" s="1">
        <v>152</v>
      </c>
      <c r="B102" s="2" t="s">
        <v>133</v>
      </c>
      <c r="C102" t="s">
        <v>306</v>
      </c>
      <c r="D102">
        <v>2019</v>
      </c>
      <c r="E102">
        <v>3</v>
      </c>
      <c r="F102">
        <v>3</v>
      </c>
      <c r="G102" t="s">
        <v>561</v>
      </c>
      <c r="H102" t="s">
        <v>650</v>
      </c>
      <c r="I102" t="s">
        <v>972</v>
      </c>
      <c r="J102" t="s">
        <v>1255</v>
      </c>
      <c r="K102" t="s">
        <v>1484</v>
      </c>
      <c r="L102" t="s">
        <v>1679</v>
      </c>
      <c r="M102" t="s">
        <v>1831</v>
      </c>
      <c r="Z102" s="21" t="s">
        <v>2166</v>
      </c>
      <c r="AA102" s="23" t="s">
        <v>2168</v>
      </c>
      <c r="AB102" s="23" t="s">
        <v>2168</v>
      </c>
      <c r="AI102">
        <f t="shared" si="11"/>
        <v>1</v>
      </c>
      <c r="AJ102">
        <f t="shared" si="12"/>
        <v>2</v>
      </c>
      <c r="AK102">
        <f t="shared" ca="1" si="13"/>
        <v>1</v>
      </c>
      <c r="AL102">
        <f t="shared" ca="1" si="14"/>
        <v>2</v>
      </c>
      <c r="AM102">
        <f t="shared" ca="1" si="15"/>
        <v>0</v>
      </c>
      <c r="AN102">
        <f t="shared" ca="1" si="16"/>
        <v>0</v>
      </c>
      <c r="AO102">
        <f t="shared" ca="1" si="17"/>
        <v>0</v>
      </c>
      <c r="AP102">
        <f t="shared" ca="1" si="18"/>
        <v>0</v>
      </c>
      <c r="AQ102">
        <f t="shared" ca="1" si="19"/>
        <v>1</v>
      </c>
      <c r="AR102">
        <f t="shared" ca="1" si="20"/>
        <v>0.33333333333333331</v>
      </c>
      <c r="AS102">
        <f t="shared" si="21"/>
        <v>0.33333333333333331</v>
      </c>
    </row>
    <row r="103" spans="1:45" x14ac:dyDescent="0.3">
      <c r="A103" s="1">
        <v>153</v>
      </c>
      <c r="B103" s="2" t="s">
        <v>134</v>
      </c>
      <c r="C103" t="s">
        <v>307</v>
      </c>
      <c r="D103">
        <v>2020</v>
      </c>
      <c r="E103">
        <v>3</v>
      </c>
      <c r="F103">
        <v>2</v>
      </c>
      <c r="G103" t="s">
        <v>561</v>
      </c>
      <c r="H103" t="s">
        <v>651</v>
      </c>
      <c r="I103" t="s">
        <v>973</v>
      </c>
      <c r="J103" t="s">
        <v>1256</v>
      </c>
      <c r="K103" t="s">
        <v>1485</v>
      </c>
      <c r="Z103" s="23" t="s">
        <v>2168</v>
      </c>
      <c r="AA103" s="23" t="s">
        <v>2168</v>
      </c>
      <c r="AI103">
        <f t="shared" si="11"/>
        <v>0</v>
      </c>
      <c r="AJ103">
        <f t="shared" si="12"/>
        <v>2</v>
      </c>
      <c r="AK103">
        <f t="shared" ca="1" si="13"/>
        <v>0</v>
      </c>
      <c r="AL103">
        <f t="shared" ca="1" si="14"/>
        <v>2</v>
      </c>
      <c r="AM103">
        <f t="shared" ca="1" si="15"/>
        <v>0</v>
      </c>
      <c r="AN103">
        <f t="shared" ca="1" si="16"/>
        <v>0</v>
      </c>
      <c r="AO103">
        <f t="shared" ca="1" si="17"/>
        <v>1</v>
      </c>
      <c r="AP103">
        <f t="shared" ca="1" si="18"/>
        <v>0</v>
      </c>
      <c r="AQ103">
        <f t="shared" ca="1" si="19"/>
        <v>0</v>
      </c>
      <c r="AR103">
        <f t="shared" ca="1" si="20"/>
        <v>0</v>
      </c>
      <c r="AS103">
        <f t="shared" si="21"/>
        <v>0.33333333333333331</v>
      </c>
    </row>
    <row r="104" spans="1:45" x14ac:dyDescent="0.3">
      <c r="A104" s="1">
        <v>154</v>
      </c>
      <c r="B104" s="2" t="s">
        <v>135</v>
      </c>
      <c r="C104" t="s">
        <v>308</v>
      </c>
      <c r="D104">
        <v>2020</v>
      </c>
      <c r="E104">
        <v>3</v>
      </c>
      <c r="F104">
        <v>1</v>
      </c>
      <c r="G104" t="s">
        <v>561</v>
      </c>
      <c r="H104" t="s">
        <v>652</v>
      </c>
      <c r="I104" t="s">
        <v>974</v>
      </c>
      <c r="Z104" s="23" t="s">
        <v>2168</v>
      </c>
      <c r="AI104">
        <f t="shared" si="11"/>
        <v>0</v>
      </c>
      <c r="AJ104">
        <f t="shared" si="12"/>
        <v>1</v>
      </c>
      <c r="AK104">
        <f t="shared" ca="1" si="13"/>
        <v>0</v>
      </c>
      <c r="AL104">
        <f t="shared" ca="1" si="14"/>
        <v>1</v>
      </c>
      <c r="AM104">
        <f t="shared" ca="1" si="15"/>
        <v>0</v>
      </c>
      <c r="AN104">
        <f t="shared" ca="1" si="16"/>
        <v>0</v>
      </c>
      <c r="AO104">
        <f t="shared" ca="1" si="17"/>
        <v>1</v>
      </c>
      <c r="AP104">
        <f t="shared" ca="1" si="18"/>
        <v>0</v>
      </c>
      <c r="AQ104">
        <f t="shared" ca="1" si="19"/>
        <v>0</v>
      </c>
      <c r="AR104">
        <f t="shared" ca="1" si="20"/>
        <v>0</v>
      </c>
      <c r="AS104">
        <f t="shared" si="21"/>
        <v>0.33333333333333331</v>
      </c>
    </row>
    <row r="105" spans="1:45" x14ac:dyDescent="0.3">
      <c r="A105" s="1">
        <v>155</v>
      </c>
      <c r="B105" s="2" t="s">
        <v>136</v>
      </c>
      <c r="C105" t="s">
        <v>309</v>
      </c>
      <c r="D105">
        <v>2020</v>
      </c>
      <c r="E105">
        <v>3</v>
      </c>
      <c r="F105">
        <v>2</v>
      </c>
      <c r="G105" t="s">
        <v>561</v>
      </c>
      <c r="H105" t="s">
        <v>653</v>
      </c>
      <c r="I105" t="s">
        <v>975</v>
      </c>
      <c r="J105" t="s">
        <v>590</v>
      </c>
      <c r="K105" t="s">
        <v>912</v>
      </c>
      <c r="Z105" s="23" t="s">
        <v>2168</v>
      </c>
      <c r="AA105" s="21" t="s">
        <v>2166</v>
      </c>
      <c r="AI105">
        <f t="shared" si="11"/>
        <v>1</v>
      </c>
      <c r="AJ105">
        <f t="shared" si="12"/>
        <v>1</v>
      </c>
      <c r="AK105">
        <f t="shared" ca="1" si="13"/>
        <v>1</v>
      </c>
      <c r="AL105">
        <f t="shared" ca="1" si="14"/>
        <v>1</v>
      </c>
      <c r="AM105">
        <f t="shared" ca="1" si="15"/>
        <v>0</v>
      </c>
      <c r="AN105">
        <f t="shared" ca="1" si="16"/>
        <v>0</v>
      </c>
      <c r="AO105">
        <f t="shared" ca="1" si="17"/>
        <v>0</v>
      </c>
      <c r="AP105">
        <f t="shared" ca="1" si="18"/>
        <v>0</v>
      </c>
      <c r="AQ105">
        <f t="shared" ca="1" si="19"/>
        <v>1</v>
      </c>
      <c r="AR105">
        <f t="shared" ca="1" si="20"/>
        <v>0.5</v>
      </c>
      <c r="AS105">
        <f t="shared" si="21"/>
        <v>0.33333333333333331</v>
      </c>
    </row>
    <row r="106" spans="1:45" x14ac:dyDescent="0.3">
      <c r="A106" s="1">
        <v>156</v>
      </c>
      <c r="B106" s="2" t="s">
        <v>137</v>
      </c>
      <c r="C106" t="s">
        <v>310</v>
      </c>
      <c r="D106">
        <v>2020</v>
      </c>
      <c r="E106">
        <v>3</v>
      </c>
      <c r="F106">
        <v>3</v>
      </c>
      <c r="G106" t="s">
        <v>561</v>
      </c>
      <c r="H106" t="s">
        <v>654</v>
      </c>
      <c r="I106" t="s">
        <v>976</v>
      </c>
      <c r="J106" t="s">
        <v>1257</v>
      </c>
      <c r="K106" t="s">
        <v>1486</v>
      </c>
      <c r="L106" t="s">
        <v>1680</v>
      </c>
      <c r="M106" t="s">
        <v>1832</v>
      </c>
      <c r="Z106" s="23" t="s">
        <v>2168</v>
      </c>
      <c r="AA106" s="23" t="s">
        <v>2168</v>
      </c>
      <c r="AB106" s="23" t="s">
        <v>2168</v>
      </c>
      <c r="AI106">
        <f t="shared" si="11"/>
        <v>0</v>
      </c>
      <c r="AJ106">
        <f t="shared" si="12"/>
        <v>3</v>
      </c>
      <c r="AK106">
        <f t="shared" ca="1" si="13"/>
        <v>0</v>
      </c>
      <c r="AL106">
        <f t="shared" ca="1" si="14"/>
        <v>3</v>
      </c>
      <c r="AM106">
        <f t="shared" ca="1" si="15"/>
        <v>0</v>
      </c>
      <c r="AN106">
        <f t="shared" ca="1" si="16"/>
        <v>0</v>
      </c>
      <c r="AO106">
        <f t="shared" ca="1" si="17"/>
        <v>1</v>
      </c>
      <c r="AP106">
        <f t="shared" ca="1" si="18"/>
        <v>0</v>
      </c>
      <c r="AQ106">
        <f t="shared" ca="1" si="19"/>
        <v>0</v>
      </c>
      <c r="AR106">
        <f t="shared" ca="1" si="20"/>
        <v>0</v>
      </c>
      <c r="AS106">
        <f t="shared" si="21"/>
        <v>0.33333333333333331</v>
      </c>
    </row>
    <row r="107" spans="1:45" x14ac:dyDescent="0.3">
      <c r="A107" s="1">
        <v>157</v>
      </c>
      <c r="B107" s="2" t="s">
        <v>138</v>
      </c>
      <c r="C107" t="s">
        <v>311</v>
      </c>
      <c r="D107">
        <v>2020</v>
      </c>
      <c r="E107">
        <v>3</v>
      </c>
      <c r="F107">
        <v>1</v>
      </c>
      <c r="G107" t="s">
        <v>561</v>
      </c>
      <c r="H107" t="s">
        <v>655</v>
      </c>
      <c r="I107" t="s">
        <v>977</v>
      </c>
      <c r="Z107" s="23" t="s">
        <v>2168</v>
      </c>
      <c r="AI107">
        <f t="shared" si="11"/>
        <v>0</v>
      </c>
      <c r="AJ107">
        <f t="shared" si="12"/>
        <v>1</v>
      </c>
      <c r="AK107">
        <f t="shared" ca="1" si="13"/>
        <v>0</v>
      </c>
      <c r="AL107">
        <f t="shared" ca="1" si="14"/>
        <v>1</v>
      </c>
      <c r="AM107">
        <f t="shared" ca="1" si="15"/>
        <v>0</v>
      </c>
      <c r="AN107">
        <f t="shared" ca="1" si="16"/>
        <v>0</v>
      </c>
      <c r="AO107">
        <f t="shared" ca="1" si="17"/>
        <v>1</v>
      </c>
      <c r="AP107">
        <f t="shared" ca="1" si="18"/>
        <v>0</v>
      </c>
      <c r="AQ107">
        <f t="shared" ca="1" si="19"/>
        <v>0</v>
      </c>
      <c r="AR107">
        <f t="shared" ca="1" si="20"/>
        <v>0</v>
      </c>
      <c r="AS107">
        <f t="shared" si="21"/>
        <v>0.33333333333333331</v>
      </c>
    </row>
    <row r="108" spans="1:45" x14ac:dyDescent="0.3">
      <c r="A108" s="1">
        <v>158</v>
      </c>
      <c r="C108" t="s">
        <v>312</v>
      </c>
      <c r="D108">
        <v>2019</v>
      </c>
      <c r="E108">
        <v>3</v>
      </c>
      <c r="F108">
        <v>3</v>
      </c>
      <c r="G108" t="s">
        <v>561</v>
      </c>
      <c r="H108" t="s">
        <v>656</v>
      </c>
      <c r="I108" t="s">
        <v>978</v>
      </c>
      <c r="J108" t="s">
        <v>1258</v>
      </c>
      <c r="K108" t="s">
        <v>1487</v>
      </c>
      <c r="L108" t="s">
        <v>1681</v>
      </c>
      <c r="M108" t="s">
        <v>1833</v>
      </c>
      <c r="Z108" s="23" t="s">
        <v>2168</v>
      </c>
      <c r="AA108" s="23" t="s">
        <v>2168</v>
      </c>
      <c r="AB108" s="23" t="s">
        <v>2168</v>
      </c>
      <c r="AI108">
        <f t="shared" si="11"/>
        <v>0</v>
      </c>
      <c r="AJ108">
        <f t="shared" si="12"/>
        <v>3</v>
      </c>
      <c r="AK108">
        <f t="shared" ca="1" si="13"/>
        <v>0</v>
      </c>
      <c r="AL108">
        <f t="shared" ca="1" si="14"/>
        <v>3</v>
      </c>
      <c r="AM108">
        <f t="shared" ca="1" si="15"/>
        <v>0</v>
      </c>
      <c r="AN108">
        <f t="shared" ca="1" si="16"/>
        <v>0</v>
      </c>
      <c r="AO108">
        <f t="shared" ca="1" si="17"/>
        <v>1</v>
      </c>
      <c r="AP108">
        <f t="shared" ca="1" si="18"/>
        <v>0</v>
      </c>
      <c r="AQ108">
        <f t="shared" ca="1" si="19"/>
        <v>0</v>
      </c>
      <c r="AR108">
        <f t="shared" ca="1" si="20"/>
        <v>0</v>
      </c>
      <c r="AS108">
        <f t="shared" si="21"/>
        <v>0.33333333333333331</v>
      </c>
    </row>
    <row r="109" spans="1:45" x14ac:dyDescent="0.3">
      <c r="A109" s="1">
        <v>159</v>
      </c>
      <c r="B109" s="2" t="s">
        <v>139</v>
      </c>
      <c r="C109" t="s">
        <v>313</v>
      </c>
      <c r="D109">
        <v>2020</v>
      </c>
      <c r="E109">
        <v>3</v>
      </c>
      <c r="F109">
        <v>1</v>
      </c>
      <c r="G109" t="s">
        <v>561</v>
      </c>
      <c r="H109" t="s">
        <v>657</v>
      </c>
      <c r="I109" t="s">
        <v>979</v>
      </c>
      <c r="Z109" s="21" t="s">
        <v>2166</v>
      </c>
      <c r="AI109">
        <f t="shared" si="11"/>
        <v>1</v>
      </c>
      <c r="AJ109">
        <f t="shared" si="12"/>
        <v>0</v>
      </c>
      <c r="AK109">
        <f t="shared" ca="1" si="13"/>
        <v>1</v>
      </c>
      <c r="AL109">
        <f t="shared" ca="1" si="14"/>
        <v>0</v>
      </c>
      <c r="AM109">
        <f t="shared" ca="1" si="15"/>
        <v>0</v>
      </c>
      <c r="AN109">
        <f t="shared" ca="1" si="16"/>
        <v>1</v>
      </c>
      <c r="AO109">
        <f t="shared" ca="1" si="17"/>
        <v>0</v>
      </c>
      <c r="AP109">
        <f t="shared" ca="1" si="18"/>
        <v>0</v>
      </c>
      <c r="AQ109">
        <f t="shared" ca="1" si="19"/>
        <v>0</v>
      </c>
      <c r="AR109">
        <f t="shared" ca="1" si="20"/>
        <v>1</v>
      </c>
      <c r="AS109">
        <f t="shared" si="21"/>
        <v>0.33333333333333331</v>
      </c>
    </row>
    <row r="110" spans="1:45" x14ac:dyDescent="0.3">
      <c r="A110" s="1">
        <v>160</v>
      </c>
      <c r="B110" s="2" t="s">
        <v>140</v>
      </c>
      <c r="C110" t="s">
        <v>314</v>
      </c>
      <c r="D110">
        <v>2020</v>
      </c>
      <c r="E110">
        <v>3</v>
      </c>
      <c r="F110">
        <v>1</v>
      </c>
      <c r="G110" t="s">
        <v>561</v>
      </c>
      <c r="H110" t="s">
        <v>629</v>
      </c>
      <c r="I110" t="s">
        <v>951</v>
      </c>
      <c r="Z110" s="23" t="s">
        <v>2168</v>
      </c>
      <c r="AI110">
        <f t="shared" si="11"/>
        <v>0</v>
      </c>
      <c r="AJ110">
        <f t="shared" si="12"/>
        <v>1</v>
      </c>
      <c r="AK110">
        <f t="shared" ca="1" si="13"/>
        <v>0</v>
      </c>
      <c r="AL110">
        <f t="shared" ca="1" si="14"/>
        <v>1</v>
      </c>
      <c r="AM110">
        <f t="shared" ca="1" si="15"/>
        <v>0</v>
      </c>
      <c r="AN110">
        <f t="shared" ca="1" si="16"/>
        <v>0</v>
      </c>
      <c r="AO110">
        <f t="shared" ca="1" si="17"/>
        <v>1</v>
      </c>
      <c r="AP110">
        <f t="shared" ca="1" si="18"/>
        <v>0</v>
      </c>
      <c r="AQ110">
        <f t="shared" ca="1" si="19"/>
        <v>0</v>
      </c>
      <c r="AR110">
        <f t="shared" ca="1" si="20"/>
        <v>0</v>
      </c>
      <c r="AS110">
        <f t="shared" si="21"/>
        <v>0.33333333333333331</v>
      </c>
    </row>
    <row r="111" spans="1:45" x14ac:dyDescent="0.3">
      <c r="A111" s="1">
        <v>162</v>
      </c>
      <c r="B111" s="2" t="s">
        <v>141</v>
      </c>
      <c r="C111" t="s">
        <v>315</v>
      </c>
      <c r="D111">
        <v>2017</v>
      </c>
      <c r="E111">
        <v>3</v>
      </c>
      <c r="F111">
        <v>1</v>
      </c>
      <c r="G111" t="s">
        <v>561</v>
      </c>
      <c r="H111" t="s">
        <v>658</v>
      </c>
      <c r="I111" t="s">
        <v>980</v>
      </c>
      <c r="Z111" s="23" t="s">
        <v>2168</v>
      </c>
      <c r="AI111">
        <f t="shared" si="11"/>
        <v>0</v>
      </c>
      <c r="AJ111">
        <f t="shared" si="12"/>
        <v>1</v>
      </c>
      <c r="AK111">
        <f t="shared" ca="1" si="13"/>
        <v>0</v>
      </c>
      <c r="AL111">
        <f t="shared" ca="1" si="14"/>
        <v>1</v>
      </c>
      <c r="AM111">
        <f t="shared" ca="1" si="15"/>
        <v>0</v>
      </c>
      <c r="AN111">
        <f t="shared" ca="1" si="16"/>
        <v>0</v>
      </c>
      <c r="AO111">
        <f t="shared" ca="1" si="17"/>
        <v>1</v>
      </c>
      <c r="AP111">
        <f t="shared" ca="1" si="18"/>
        <v>0</v>
      </c>
      <c r="AQ111">
        <f t="shared" ca="1" si="19"/>
        <v>0</v>
      </c>
      <c r="AR111">
        <f t="shared" ca="1" si="20"/>
        <v>0</v>
      </c>
      <c r="AS111">
        <f t="shared" si="21"/>
        <v>0.33333333333333331</v>
      </c>
    </row>
    <row r="112" spans="1:45" x14ac:dyDescent="0.3">
      <c r="A112" s="1">
        <v>164</v>
      </c>
      <c r="B112" s="2" t="s">
        <v>142</v>
      </c>
      <c r="C112" t="s">
        <v>316</v>
      </c>
      <c r="D112">
        <v>2021</v>
      </c>
      <c r="E112">
        <v>3</v>
      </c>
      <c r="F112">
        <v>4</v>
      </c>
      <c r="G112" t="s">
        <v>561</v>
      </c>
      <c r="H112" t="s">
        <v>652</v>
      </c>
      <c r="I112" t="s">
        <v>974</v>
      </c>
      <c r="J112" t="s">
        <v>881</v>
      </c>
      <c r="K112" t="s">
        <v>1192</v>
      </c>
      <c r="L112" t="s">
        <v>1423</v>
      </c>
      <c r="M112" t="s">
        <v>1637</v>
      </c>
      <c r="N112" t="s">
        <v>1659</v>
      </c>
      <c r="O112" t="s">
        <v>1813</v>
      </c>
      <c r="Z112" s="23" t="s">
        <v>2168</v>
      </c>
      <c r="AA112" s="21" t="s">
        <v>2166</v>
      </c>
      <c r="AB112" s="23" t="s">
        <v>2168</v>
      </c>
      <c r="AC112" s="22" t="s">
        <v>2167</v>
      </c>
      <c r="AI112">
        <f t="shared" si="11"/>
        <v>1</v>
      </c>
      <c r="AJ112">
        <f t="shared" si="12"/>
        <v>2</v>
      </c>
      <c r="AK112">
        <f t="shared" ca="1" si="13"/>
        <v>1</v>
      </c>
      <c r="AL112">
        <f t="shared" ca="1" si="14"/>
        <v>2</v>
      </c>
      <c r="AM112">
        <f t="shared" ca="1" si="15"/>
        <v>1</v>
      </c>
      <c r="AN112">
        <f t="shared" ca="1" si="16"/>
        <v>0</v>
      </c>
      <c r="AO112">
        <f t="shared" ca="1" si="17"/>
        <v>0</v>
      </c>
      <c r="AP112">
        <f t="shared" ca="1" si="18"/>
        <v>1</v>
      </c>
      <c r="AQ112">
        <f t="shared" ca="1" si="19"/>
        <v>1</v>
      </c>
      <c r="AR112">
        <f t="shared" ca="1" si="20"/>
        <v>0.25</v>
      </c>
      <c r="AS112">
        <f t="shared" si="21"/>
        <v>0.33333333333333331</v>
      </c>
    </row>
    <row r="113" spans="1:45" x14ac:dyDescent="0.3">
      <c r="A113" s="1">
        <v>165</v>
      </c>
      <c r="B113" s="2" t="s">
        <v>143</v>
      </c>
      <c r="C113" t="s">
        <v>317</v>
      </c>
      <c r="D113">
        <v>2021</v>
      </c>
      <c r="E113">
        <v>3</v>
      </c>
      <c r="F113">
        <v>2</v>
      </c>
      <c r="G113" t="s">
        <v>561</v>
      </c>
      <c r="H113" t="s">
        <v>659</v>
      </c>
      <c r="I113" t="s">
        <v>981</v>
      </c>
      <c r="J113" t="s">
        <v>1259</v>
      </c>
      <c r="K113" t="s">
        <v>1488</v>
      </c>
      <c r="Z113" s="22" t="s">
        <v>2167</v>
      </c>
      <c r="AA113" s="21" t="s">
        <v>2166</v>
      </c>
      <c r="AI113">
        <f t="shared" si="11"/>
        <v>1</v>
      </c>
      <c r="AJ113">
        <f t="shared" si="12"/>
        <v>0</v>
      </c>
      <c r="AK113">
        <f t="shared" ca="1" si="13"/>
        <v>1</v>
      </c>
      <c r="AL113">
        <f t="shared" ca="1" si="14"/>
        <v>0</v>
      </c>
      <c r="AM113">
        <f t="shared" ca="1" si="15"/>
        <v>1</v>
      </c>
      <c r="AN113">
        <f t="shared" ca="1" si="16"/>
        <v>0</v>
      </c>
      <c r="AO113">
        <f t="shared" ca="1" si="17"/>
        <v>0</v>
      </c>
      <c r="AP113">
        <f t="shared" ca="1" si="18"/>
        <v>1</v>
      </c>
      <c r="AQ113">
        <f t="shared" ca="1" si="19"/>
        <v>1</v>
      </c>
      <c r="AR113">
        <f t="shared" ca="1" si="20"/>
        <v>0.5</v>
      </c>
      <c r="AS113">
        <f t="shared" si="21"/>
        <v>0.33333333333333331</v>
      </c>
    </row>
    <row r="114" spans="1:45" x14ac:dyDescent="0.3">
      <c r="A114" s="1">
        <v>166</v>
      </c>
      <c r="B114" s="2" t="s">
        <v>144</v>
      </c>
      <c r="C114" t="s">
        <v>318</v>
      </c>
      <c r="D114">
        <v>2021</v>
      </c>
      <c r="E114">
        <v>3</v>
      </c>
      <c r="F114">
        <v>9</v>
      </c>
      <c r="G114" t="s">
        <v>561</v>
      </c>
      <c r="H114" t="s">
        <v>660</v>
      </c>
      <c r="I114" t="s">
        <v>982</v>
      </c>
      <c r="J114" t="s">
        <v>1260</v>
      </c>
      <c r="K114" t="s">
        <v>1489</v>
      </c>
      <c r="L114" t="s">
        <v>1682</v>
      </c>
      <c r="M114" t="s">
        <v>1834</v>
      </c>
      <c r="N114" t="s">
        <v>1951</v>
      </c>
      <c r="O114" t="s">
        <v>2011</v>
      </c>
      <c r="P114" t="s">
        <v>2061</v>
      </c>
      <c r="Q114" t="s">
        <v>2087</v>
      </c>
      <c r="R114" t="s">
        <v>2109</v>
      </c>
      <c r="S114" t="s">
        <v>2125</v>
      </c>
      <c r="T114" t="s">
        <v>2137</v>
      </c>
      <c r="U114" t="s">
        <v>2144</v>
      </c>
      <c r="V114" t="s">
        <v>2151</v>
      </c>
      <c r="W114" t="s">
        <v>2155</v>
      </c>
      <c r="X114" t="s">
        <v>2159</v>
      </c>
      <c r="Y114" t="s">
        <v>2163</v>
      </c>
      <c r="Z114" s="21" t="s">
        <v>2166</v>
      </c>
      <c r="AA114" s="21" t="s">
        <v>2166</v>
      </c>
      <c r="AB114" s="23" t="s">
        <v>2168</v>
      </c>
      <c r="AC114" s="21" t="s">
        <v>2166</v>
      </c>
      <c r="AD114" s="21" t="s">
        <v>2166</v>
      </c>
      <c r="AE114" s="21" t="s">
        <v>2166</v>
      </c>
      <c r="AF114" s="22" t="s">
        <v>2167</v>
      </c>
      <c r="AG114" s="21" t="s">
        <v>2166</v>
      </c>
      <c r="AH114" s="21" t="s">
        <v>2166</v>
      </c>
      <c r="AI114">
        <f t="shared" si="11"/>
        <v>7</v>
      </c>
      <c r="AJ114">
        <f t="shared" si="12"/>
        <v>1</v>
      </c>
      <c r="AK114">
        <f t="shared" ca="1" si="13"/>
        <v>7</v>
      </c>
      <c r="AL114">
        <f t="shared" ca="1" si="14"/>
        <v>1</v>
      </c>
      <c r="AM114">
        <f t="shared" ca="1" si="15"/>
        <v>1</v>
      </c>
      <c r="AN114">
        <f t="shared" ca="1" si="16"/>
        <v>0</v>
      </c>
      <c r="AO114">
        <f t="shared" ca="1" si="17"/>
        <v>0</v>
      </c>
      <c r="AP114">
        <f t="shared" ca="1" si="18"/>
        <v>1</v>
      </c>
      <c r="AQ114">
        <f t="shared" ca="1" si="19"/>
        <v>1</v>
      </c>
      <c r="AR114">
        <f t="shared" ca="1" si="20"/>
        <v>0</v>
      </c>
      <c r="AS114">
        <f t="shared" si="21"/>
        <v>0.33333333333333331</v>
      </c>
    </row>
    <row r="115" spans="1:45" x14ac:dyDescent="0.3">
      <c r="A115" s="1">
        <v>167</v>
      </c>
      <c r="B115" s="2" t="s">
        <v>145</v>
      </c>
      <c r="C115" t="s">
        <v>319</v>
      </c>
      <c r="D115">
        <v>2021</v>
      </c>
      <c r="E115">
        <v>3</v>
      </c>
      <c r="F115">
        <v>4</v>
      </c>
      <c r="G115" t="s">
        <v>561</v>
      </c>
      <c r="H115" t="s">
        <v>661</v>
      </c>
      <c r="I115" t="s">
        <v>983</v>
      </c>
      <c r="J115" t="s">
        <v>1243</v>
      </c>
      <c r="K115" t="s">
        <v>1473</v>
      </c>
      <c r="L115" t="s">
        <v>1683</v>
      </c>
      <c r="M115" t="s">
        <v>1835</v>
      </c>
      <c r="N115" t="s">
        <v>636</v>
      </c>
      <c r="O115" t="s">
        <v>958</v>
      </c>
      <c r="Z115" s="23" t="s">
        <v>2168</v>
      </c>
      <c r="AA115" s="21" t="s">
        <v>2166</v>
      </c>
      <c r="AB115" s="21" t="s">
        <v>2166</v>
      </c>
      <c r="AC115" s="23" t="s">
        <v>2168</v>
      </c>
      <c r="AI115">
        <f t="shared" si="11"/>
        <v>2</v>
      </c>
      <c r="AJ115">
        <f t="shared" si="12"/>
        <v>2</v>
      </c>
      <c r="AK115">
        <f t="shared" ca="1" si="13"/>
        <v>2</v>
      </c>
      <c r="AL115">
        <f t="shared" ca="1" si="14"/>
        <v>2</v>
      </c>
      <c r="AM115">
        <f t="shared" ca="1" si="15"/>
        <v>0</v>
      </c>
      <c r="AN115">
        <f t="shared" ca="1" si="16"/>
        <v>0</v>
      </c>
      <c r="AO115">
        <f t="shared" ca="1" si="17"/>
        <v>0</v>
      </c>
      <c r="AP115">
        <f t="shared" ca="1" si="18"/>
        <v>0</v>
      </c>
      <c r="AQ115">
        <f t="shared" ca="1" si="19"/>
        <v>1</v>
      </c>
      <c r="AR115">
        <f t="shared" ca="1" si="20"/>
        <v>0.125</v>
      </c>
      <c r="AS115">
        <f t="shared" si="21"/>
        <v>0.33333333333333331</v>
      </c>
    </row>
    <row r="116" spans="1:45" x14ac:dyDescent="0.3">
      <c r="A116" s="1">
        <v>168</v>
      </c>
      <c r="B116" s="2" t="s">
        <v>146</v>
      </c>
      <c r="C116" t="s">
        <v>320</v>
      </c>
      <c r="D116">
        <v>2021</v>
      </c>
      <c r="E116">
        <v>3</v>
      </c>
      <c r="F116">
        <v>4</v>
      </c>
      <c r="G116" t="s">
        <v>561</v>
      </c>
      <c r="H116" t="s">
        <v>662</v>
      </c>
      <c r="I116" t="s">
        <v>984</v>
      </c>
      <c r="J116" t="s">
        <v>1261</v>
      </c>
      <c r="K116" t="s">
        <v>1490</v>
      </c>
      <c r="L116" t="s">
        <v>1684</v>
      </c>
      <c r="M116" t="s">
        <v>1836</v>
      </c>
      <c r="N116" t="s">
        <v>1952</v>
      </c>
      <c r="O116" t="s">
        <v>2012</v>
      </c>
      <c r="Z116" s="23" t="s">
        <v>2168</v>
      </c>
      <c r="AA116" s="21" t="s">
        <v>2166</v>
      </c>
      <c r="AB116" s="22" t="s">
        <v>2167</v>
      </c>
      <c r="AC116" s="23" t="s">
        <v>2168</v>
      </c>
      <c r="AI116">
        <f t="shared" si="11"/>
        <v>1</v>
      </c>
      <c r="AJ116">
        <f t="shared" si="12"/>
        <v>2</v>
      </c>
      <c r="AK116">
        <f t="shared" ca="1" si="13"/>
        <v>1</v>
      </c>
      <c r="AL116">
        <f t="shared" ca="1" si="14"/>
        <v>2</v>
      </c>
      <c r="AM116">
        <f t="shared" ca="1" si="15"/>
        <v>1</v>
      </c>
      <c r="AN116">
        <f t="shared" ca="1" si="16"/>
        <v>0</v>
      </c>
      <c r="AO116">
        <f t="shared" ca="1" si="17"/>
        <v>0</v>
      </c>
      <c r="AP116">
        <f t="shared" ca="1" si="18"/>
        <v>1</v>
      </c>
      <c r="AQ116">
        <f t="shared" ca="1" si="19"/>
        <v>1</v>
      </c>
      <c r="AR116">
        <f t="shared" ca="1" si="20"/>
        <v>0.25</v>
      </c>
      <c r="AS116">
        <f t="shared" si="21"/>
        <v>0.33333333333333331</v>
      </c>
    </row>
    <row r="117" spans="1:45" x14ac:dyDescent="0.3">
      <c r="A117" s="1">
        <v>169</v>
      </c>
      <c r="B117" s="2" t="s">
        <v>147</v>
      </c>
      <c r="C117" t="s">
        <v>321</v>
      </c>
      <c r="D117">
        <v>2021</v>
      </c>
      <c r="E117">
        <v>3</v>
      </c>
      <c r="F117">
        <v>3</v>
      </c>
      <c r="G117" t="s">
        <v>561</v>
      </c>
      <c r="H117" t="s">
        <v>663</v>
      </c>
      <c r="I117" t="s">
        <v>985</v>
      </c>
      <c r="J117" t="s">
        <v>1262</v>
      </c>
      <c r="K117" t="s">
        <v>1491</v>
      </c>
      <c r="L117" t="s">
        <v>1685</v>
      </c>
      <c r="M117" t="s">
        <v>1837</v>
      </c>
      <c r="Z117" s="23" t="s">
        <v>2168</v>
      </c>
      <c r="AA117" s="23" t="s">
        <v>2168</v>
      </c>
      <c r="AB117" s="23" t="s">
        <v>2168</v>
      </c>
      <c r="AI117">
        <f t="shared" si="11"/>
        <v>0</v>
      </c>
      <c r="AJ117">
        <f t="shared" si="12"/>
        <v>3</v>
      </c>
      <c r="AK117">
        <f t="shared" ca="1" si="13"/>
        <v>0</v>
      </c>
      <c r="AL117">
        <f t="shared" ca="1" si="14"/>
        <v>3</v>
      </c>
      <c r="AM117">
        <f t="shared" ca="1" si="15"/>
        <v>0</v>
      </c>
      <c r="AN117">
        <f t="shared" ca="1" si="16"/>
        <v>0</v>
      </c>
      <c r="AO117">
        <f t="shared" ca="1" si="17"/>
        <v>1</v>
      </c>
      <c r="AP117">
        <f t="shared" ca="1" si="18"/>
        <v>0</v>
      </c>
      <c r="AQ117">
        <f t="shared" ca="1" si="19"/>
        <v>0</v>
      </c>
      <c r="AR117">
        <f t="shared" ca="1" si="20"/>
        <v>0</v>
      </c>
      <c r="AS117">
        <f t="shared" si="21"/>
        <v>0.33333333333333331</v>
      </c>
    </row>
    <row r="118" spans="1:45" x14ac:dyDescent="0.3">
      <c r="A118" s="1">
        <v>170</v>
      </c>
      <c r="B118" s="2" t="s">
        <v>148</v>
      </c>
      <c r="C118" t="s">
        <v>322</v>
      </c>
      <c r="D118">
        <v>2015</v>
      </c>
      <c r="E118">
        <v>3</v>
      </c>
      <c r="F118">
        <v>2</v>
      </c>
      <c r="G118" t="s">
        <v>561</v>
      </c>
      <c r="H118" t="s">
        <v>664</v>
      </c>
      <c r="I118" t="s">
        <v>986</v>
      </c>
      <c r="J118" t="s">
        <v>1263</v>
      </c>
      <c r="K118" t="s">
        <v>1492</v>
      </c>
      <c r="Z118" s="21" t="s">
        <v>2166</v>
      </c>
      <c r="AA118" s="21" t="s">
        <v>2166</v>
      </c>
      <c r="AI118">
        <f t="shared" si="11"/>
        <v>2</v>
      </c>
      <c r="AJ118">
        <f t="shared" si="12"/>
        <v>0</v>
      </c>
      <c r="AK118">
        <f t="shared" ca="1" si="13"/>
        <v>2</v>
      </c>
      <c r="AL118">
        <f t="shared" ca="1" si="14"/>
        <v>0</v>
      </c>
      <c r="AM118">
        <f t="shared" ca="1" si="15"/>
        <v>0</v>
      </c>
      <c r="AN118">
        <f t="shared" ca="1" si="16"/>
        <v>1</v>
      </c>
      <c r="AO118">
        <f t="shared" ca="1" si="17"/>
        <v>0</v>
      </c>
      <c r="AP118">
        <f t="shared" ca="1" si="18"/>
        <v>0</v>
      </c>
      <c r="AQ118">
        <f t="shared" ca="1" si="19"/>
        <v>0</v>
      </c>
      <c r="AR118">
        <f t="shared" ca="1" si="20"/>
        <v>0.5</v>
      </c>
      <c r="AS118">
        <f t="shared" si="21"/>
        <v>0.33333333333333331</v>
      </c>
    </row>
    <row r="119" spans="1:45" x14ac:dyDescent="0.3">
      <c r="A119" s="1">
        <v>171</v>
      </c>
      <c r="B119" s="2" t="s">
        <v>149</v>
      </c>
      <c r="C119" t="s">
        <v>323</v>
      </c>
      <c r="D119">
        <v>2021</v>
      </c>
      <c r="E119">
        <v>3</v>
      </c>
      <c r="F119">
        <v>6</v>
      </c>
      <c r="G119" t="s">
        <v>561</v>
      </c>
      <c r="H119" t="s">
        <v>665</v>
      </c>
      <c r="I119" t="s">
        <v>987</v>
      </c>
      <c r="J119" t="s">
        <v>1264</v>
      </c>
      <c r="L119" t="s">
        <v>1686</v>
      </c>
      <c r="M119" t="s">
        <v>1838</v>
      </c>
      <c r="N119" t="s">
        <v>1686</v>
      </c>
      <c r="O119" t="s">
        <v>1838</v>
      </c>
      <c r="P119" t="s">
        <v>2062</v>
      </c>
      <c r="R119" t="s">
        <v>2110</v>
      </c>
      <c r="Z119" s="23" t="s">
        <v>2168</v>
      </c>
      <c r="AB119" s="21" t="s">
        <v>2166</v>
      </c>
      <c r="AC119" s="21" t="s">
        <v>2166</v>
      </c>
      <c r="AI119">
        <f t="shared" si="11"/>
        <v>2</v>
      </c>
      <c r="AJ119">
        <f t="shared" si="12"/>
        <v>1</v>
      </c>
      <c r="AK119">
        <f t="shared" ca="1" si="13"/>
        <v>2</v>
      </c>
      <c r="AL119">
        <f t="shared" ca="1" si="14"/>
        <v>1</v>
      </c>
      <c r="AM119">
        <f t="shared" ca="1" si="15"/>
        <v>0</v>
      </c>
      <c r="AN119">
        <f t="shared" ca="1" si="16"/>
        <v>0</v>
      </c>
      <c r="AO119">
        <f t="shared" ca="1" si="17"/>
        <v>0</v>
      </c>
      <c r="AP119">
        <f t="shared" ca="1" si="18"/>
        <v>0</v>
      </c>
      <c r="AQ119">
        <f t="shared" ca="1" si="19"/>
        <v>1</v>
      </c>
      <c r="AR119">
        <f t="shared" ca="1" si="20"/>
        <v>5.5555555555555552E-2</v>
      </c>
      <c r="AS119">
        <f t="shared" si="21"/>
        <v>0.33333333333333331</v>
      </c>
    </row>
    <row r="120" spans="1:45" x14ac:dyDescent="0.3">
      <c r="A120" s="1">
        <v>172</v>
      </c>
      <c r="C120" t="s">
        <v>324</v>
      </c>
      <c r="D120">
        <v>2016</v>
      </c>
      <c r="E120">
        <v>3</v>
      </c>
      <c r="F120">
        <v>3</v>
      </c>
      <c r="G120" t="s">
        <v>561</v>
      </c>
      <c r="H120" t="s">
        <v>666</v>
      </c>
      <c r="I120" t="s">
        <v>988</v>
      </c>
      <c r="J120" t="s">
        <v>645</v>
      </c>
      <c r="K120" t="s">
        <v>967</v>
      </c>
      <c r="L120" t="s">
        <v>1687</v>
      </c>
      <c r="M120" t="s">
        <v>1839</v>
      </c>
      <c r="Z120" s="23" t="s">
        <v>2168</v>
      </c>
      <c r="AA120" s="21" t="s">
        <v>2166</v>
      </c>
      <c r="AB120" s="23" t="s">
        <v>2168</v>
      </c>
      <c r="AI120">
        <f t="shared" si="11"/>
        <v>1</v>
      </c>
      <c r="AJ120">
        <f t="shared" si="12"/>
        <v>2</v>
      </c>
      <c r="AK120">
        <f t="shared" ca="1" si="13"/>
        <v>1</v>
      </c>
      <c r="AL120">
        <f t="shared" ca="1" si="14"/>
        <v>2</v>
      </c>
      <c r="AM120">
        <f t="shared" ca="1" si="15"/>
        <v>0</v>
      </c>
      <c r="AN120">
        <f t="shared" ca="1" si="16"/>
        <v>0</v>
      </c>
      <c r="AO120">
        <f t="shared" ca="1" si="17"/>
        <v>0</v>
      </c>
      <c r="AP120">
        <f t="shared" ca="1" si="18"/>
        <v>0</v>
      </c>
      <c r="AQ120">
        <f t="shared" ca="1" si="19"/>
        <v>1</v>
      </c>
      <c r="AR120">
        <f t="shared" ca="1" si="20"/>
        <v>0.33333333333333331</v>
      </c>
      <c r="AS120">
        <f t="shared" si="21"/>
        <v>0.33333333333333331</v>
      </c>
    </row>
    <row r="121" spans="1:45" x14ac:dyDescent="0.3">
      <c r="A121" s="1">
        <v>174</v>
      </c>
      <c r="B121" s="2" t="s">
        <v>150</v>
      </c>
      <c r="C121" t="s">
        <v>324</v>
      </c>
      <c r="D121">
        <v>2016</v>
      </c>
      <c r="E121">
        <v>3</v>
      </c>
      <c r="F121">
        <v>3</v>
      </c>
      <c r="G121" t="s">
        <v>561</v>
      </c>
      <c r="H121" t="s">
        <v>666</v>
      </c>
      <c r="I121" t="s">
        <v>988</v>
      </c>
      <c r="J121" t="s">
        <v>645</v>
      </c>
      <c r="K121" t="s">
        <v>967</v>
      </c>
      <c r="L121" t="s">
        <v>1687</v>
      </c>
      <c r="M121" t="s">
        <v>1839</v>
      </c>
      <c r="Z121" s="23" t="s">
        <v>2168</v>
      </c>
      <c r="AA121" s="21" t="s">
        <v>2166</v>
      </c>
      <c r="AB121" s="23" t="s">
        <v>2168</v>
      </c>
      <c r="AI121">
        <f t="shared" si="11"/>
        <v>1</v>
      </c>
      <c r="AJ121">
        <f t="shared" si="12"/>
        <v>2</v>
      </c>
      <c r="AK121">
        <f t="shared" ca="1" si="13"/>
        <v>1</v>
      </c>
      <c r="AL121">
        <f t="shared" ca="1" si="14"/>
        <v>2</v>
      </c>
      <c r="AM121">
        <f t="shared" ca="1" si="15"/>
        <v>0</v>
      </c>
      <c r="AN121">
        <f t="shared" ca="1" si="16"/>
        <v>0</v>
      </c>
      <c r="AO121">
        <f t="shared" ca="1" si="17"/>
        <v>0</v>
      </c>
      <c r="AP121">
        <f t="shared" ca="1" si="18"/>
        <v>0</v>
      </c>
      <c r="AQ121">
        <f t="shared" ca="1" si="19"/>
        <v>1</v>
      </c>
      <c r="AR121">
        <f t="shared" ca="1" si="20"/>
        <v>0.33333333333333331</v>
      </c>
      <c r="AS121">
        <f t="shared" si="21"/>
        <v>0.33333333333333331</v>
      </c>
    </row>
    <row r="122" spans="1:45" x14ac:dyDescent="0.3">
      <c r="A122" s="1">
        <v>175</v>
      </c>
      <c r="B122" s="2" t="s">
        <v>151</v>
      </c>
      <c r="C122" t="s">
        <v>325</v>
      </c>
      <c r="D122">
        <v>2015</v>
      </c>
      <c r="E122">
        <v>2</v>
      </c>
      <c r="F122">
        <v>2</v>
      </c>
      <c r="G122" t="s">
        <v>561</v>
      </c>
      <c r="H122" t="s">
        <v>631</v>
      </c>
      <c r="I122" t="s">
        <v>953</v>
      </c>
      <c r="J122" t="s">
        <v>1215</v>
      </c>
      <c r="K122" t="s">
        <v>1447</v>
      </c>
      <c r="Z122" s="23" t="s">
        <v>2168</v>
      </c>
      <c r="AA122" s="21" t="s">
        <v>2166</v>
      </c>
      <c r="AI122">
        <f t="shared" si="11"/>
        <v>1</v>
      </c>
      <c r="AJ122">
        <f t="shared" si="12"/>
        <v>1</v>
      </c>
      <c r="AK122">
        <f t="shared" ca="1" si="13"/>
        <v>1</v>
      </c>
      <c r="AL122">
        <f t="shared" ca="1" si="14"/>
        <v>1</v>
      </c>
      <c r="AM122">
        <f t="shared" ca="1" si="15"/>
        <v>0</v>
      </c>
      <c r="AN122">
        <f t="shared" ca="1" si="16"/>
        <v>0</v>
      </c>
      <c r="AO122">
        <f t="shared" ca="1" si="17"/>
        <v>0</v>
      </c>
      <c r="AP122">
        <f t="shared" ca="1" si="18"/>
        <v>0</v>
      </c>
      <c r="AQ122">
        <f t="shared" ca="1" si="19"/>
        <v>1</v>
      </c>
      <c r="AR122">
        <f t="shared" ca="1" si="20"/>
        <v>0.5</v>
      </c>
      <c r="AS122">
        <f t="shared" si="21"/>
        <v>0.5</v>
      </c>
    </row>
    <row r="123" spans="1:45" x14ac:dyDescent="0.3">
      <c r="A123" s="1">
        <v>189</v>
      </c>
      <c r="B123" s="2" t="s">
        <v>152</v>
      </c>
      <c r="C123" t="s">
        <v>326</v>
      </c>
      <c r="D123">
        <v>2016</v>
      </c>
      <c r="E123">
        <v>2</v>
      </c>
      <c r="F123">
        <v>1</v>
      </c>
      <c r="G123" t="s">
        <v>561</v>
      </c>
      <c r="H123" t="s">
        <v>667</v>
      </c>
      <c r="I123" t="s">
        <v>989</v>
      </c>
      <c r="Z123" s="21" t="s">
        <v>2166</v>
      </c>
      <c r="AI123">
        <f t="shared" si="11"/>
        <v>1</v>
      </c>
      <c r="AJ123">
        <f t="shared" si="12"/>
        <v>0</v>
      </c>
      <c r="AK123">
        <f t="shared" ca="1" si="13"/>
        <v>1</v>
      </c>
      <c r="AL123">
        <f t="shared" ca="1" si="14"/>
        <v>0</v>
      </c>
      <c r="AM123">
        <f t="shared" ca="1" si="15"/>
        <v>0</v>
      </c>
      <c r="AN123">
        <f t="shared" ca="1" si="16"/>
        <v>1</v>
      </c>
      <c r="AO123">
        <f t="shared" ca="1" si="17"/>
        <v>0</v>
      </c>
      <c r="AP123">
        <f t="shared" ca="1" si="18"/>
        <v>0</v>
      </c>
      <c r="AQ123">
        <f t="shared" ca="1" si="19"/>
        <v>0</v>
      </c>
      <c r="AR123">
        <f t="shared" ca="1" si="20"/>
        <v>1</v>
      </c>
      <c r="AS123">
        <f t="shared" si="21"/>
        <v>0.5</v>
      </c>
    </row>
    <row r="124" spans="1:45" x14ac:dyDescent="0.3">
      <c r="A124" s="1">
        <v>190</v>
      </c>
      <c r="B124" s="2" t="s">
        <v>153</v>
      </c>
      <c r="C124" t="s">
        <v>327</v>
      </c>
      <c r="D124">
        <v>2017</v>
      </c>
      <c r="E124">
        <v>2</v>
      </c>
      <c r="F124">
        <v>3</v>
      </c>
      <c r="G124" t="s">
        <v>561</v>
      </c>
      <c r="H124" t="s">
        <v>668</v>
      </c>
      <c r="I124" t="s">
        <v>990</v>
      </c>
      <c r="J124" t="s">
        <v>1229</v>
      </c>
      <c r="K124" t="s">
        <v>1460</v>
      </c>
      <c r="L124" t="s">
        <v>1688</v>
      </c>
      <c r="M124" t="s">
        <v>1840</v>
      </c>
      <c r="Z124" s="22" t="s">
        <v>2167</v>
      </c>
      <c r="AA124" s="21" t="s">
        <v>2166</v>
      </c>
      <c r="AB124" s="21" t="s">
        <v>2166</v>
      </c>
      <c r="AI124">
        <f t="shared" si="11"/>
        <v>2</v>
      </c>
      <c r="AJ124">
        <f t="shared" si="12"/>
        <v>0</v>
      </c>
      <c r="AK124">
        <f t="shared" ca="1" si="13"/>
        <v>2</v>
      </c>
      <c r="AL124">
        <f t="shared" ca="1" si="14"/>
        <v>0</v>
      </c>
      <c r="AM124">
        <f t="shared" ca="1" si="15"/>
        <v>1</v>
      </c>
      <c r="AN124">
        <f t="shared" ca="1" si="16"/>
        <v>0</v>
      </c>
      <c r="AO124">
        <f t="shared" ca="1" si="17"/>
        <v>0</v>
      </c>
      <c r="AP124">
        <f t="shared" ca="1" si="18"/>
        <v>1</v>
      </c>
      <c r="AQ124">
        <f t="shared" ca="1" si="19"/>
        <v>1</v>
      </c>
      <c r="AR124">
        <f t="shared" ca="1" si="20"/>
        <v>0.22222222222222221</v>
      </c>
      <c r="AS124">
        <f t="shared" si="21"/>
        <v>0.5</v>
      </c>
    </row>
    <row r="125" spans="1:45" x14ac:dyDescent="0.3">
      <c r="A125" s="1">
        <v>191</v>
      </c>
      <c r="B125" s="2" t="s">
        <v>154</v>
      </c>
      <c r="C125" t="s">
        <v>328</v>
      </c>
      <c r="D125">
        <v>2018</v>
      </c>
      <c r="E125">
        <v>2</v>
      </c>
      <c r="F125">
        <v>2</v>
      </c>
      <c r="G125" t="s">
        <v>561</v>
      </c>
      <c r="H125" t="s">
        <v>669</v>
      </c>
      <c r="I125" t="s">
        <v>991</v>
      </c>
      <c r="J125" t="s">
        <v>1265</v>
      </c>
      <c r="K125" t="s">
        <v>1493</v>
      </c>
      <c r="Z125" s="22" t="s">
        <v>2167</v>
      </c>
      <c r="AA125" s="23" t="s">
        <v>2168</v>
      </c>
      <c r="AI125">
        <f t="shared" si="11"/>
        <v>0</v>
      </c>
      <c r="AJ125">
        <f t="shared" si="12"/>
        <v>1</v>
      </c>
      <c r="AK125">
        <f t="shared" ca="1" si="13"/>
        <v>0</v>
      </c>
      <c r="AL125">
        <f t="shared" ca="1" si="14"/>
        <v>1</v>
      </c>
      <c r="AM125">
        <f t="shared" ca="1" si="15"/>
        <v>1</v>
      </c>
      <c r="AN125">
        <f t="shared" ca="1" si="16"/>
        <v>0</v>
      </c>
      <c r="AO125">
        <f t="shared" ca="1" si="17"/>
        <v>0</v>
      </c>
      <c r="AP125">
        <f t="shared" ca="1" si="18"/>
        <v>1</v>
      </c>
      <c r="AQ125">
        <f t="shared" ca="1" si="19"/>
        <v>1</v>
      </c>
      <c r="AR125">
        <f t="shared" ca="1" si="20"/>
        <v>0</v>
      </c>
      <c r="AS125">
        <f t="shared" si="21"/>
        <v>0.5</v>
      </c>
    </row>
    <row r="126" spans="1:45" x14ac:dyDescent="0.3">
      <c r="A126" s="1">
        <v>192</v>
      </c>
      <c r="B126" s="2" t="s">
        <v>155</v>
      </c>
      <c r="C126" t="s">
        <v>329</v>
      </c>
      <c r="D126">
        <v>2018</v>
      </c>
      <c r="E126">
        <v>2</v>
      </c>
      <c r="F126">
        <v>1</v>
      </c>
      <c r="G126" t="s">
        <v>561</v>
      </c>
      <c r="H126" t="s">
        <v>670</v>
      </c>
      <c r="I126" t="s">
        <v>992</v>
      </c>
      <c r="Z126" s="23" t="s">
        <v>2168</v>
      </c>
      <c r="AI126">
        <f t="shared" si="11"/>
        <v>0</v>
      </c>
      <c r="AJ126">
        <f t="shared" si="12"/>
        <v>1</v>
      </c>
      <c r="AK126">
        <f t="shared" ca="1" si="13"/>
        <v>0</v>
      </c>
      <c r="AL126">
        <f t="shared" ca="1" si="14"/>
        <v>1</v>
      </c>
      <c r="AM126">
        <f t="shared" ca="1" si="15"/>
        <v>0</v>
      </c>
      <c r="AN126">
        <f t="shared" ca="1" si="16"/>
        <v>0</v>
      </c>
      <c r="AO126">
        <f t="shared" ca="1" si="17"/>
        <v>1</v>
      </c>
      <c r="AP126">
        <f t="shared" ca="1" si="18"/>
        <v>0</v>
      </c>
      <c r="AQ126">
        <f t="shared" ca="1" si="19"/>
        <v>0</v>
      </c>
      <c r="AR126">
        <f t="shared" ca="1" si="20"/>
        <v>0</v>
      </c>
      <c r="AS126">
        <f t="shared" si="21"/>
        <v>0.5</v>
      </c>
    </row>
    <row r="127" spans="1:45" x14ac:dyDescent="0.3">
      <c r="A127" s="1">
        <v>193</v>
      </c>
      <c r="B127" s="2" t="s">
        <v>156</v>
      </c>
      <c r="C127" t="s">
        <v>330</v>
      </c>
      <c r="D127">
        <v>2018</v>
      </c>
      <c r="E127">
        <v>2</v>
      </c>
      <c r="F127">
        <v>1</v>
      </c>
      <c r="G127" t="s">
        <v>561</v>
      </c>
      <c r="H127" t="s">
        <v>671</v>
      </c>
      <c r="I127" t="s">
        <v>993</v>
      </c>
      <c r="Z127" s="23" t="s">
        <v>2168</v>
      </c>
      <c r="AI127">
        <f t="shared" si="11"/>
        <v>0</v>
      </c>
      <c r="AJ127">
        <f t="shared" si="12"/>
        <v>1</v>
      </c>
      <c r="AK127">
        <f t="shared" ca="1" si="13"/>
        <v>0</v>
      </c>
      <c r="AL127">
        <f t="shared" ca="1" si="14"/>
        <v>1</v>
      </c>
      <c r="AM127">
        <f t="shared" ca="1" si="15"/>
        <v>0</v>
      </c>
      <c r="AN127">
        <f t="shared" ca="1" si="16"/>
        <v>0</v>
      </c>
      <c r="AO127">
        <f t="shared" ca="1" si="17"/>
        <v>1</v>
      </c>
      <c r="AP127">
        <f t="shared" ca="1" si="18"/>
        <v>0</v>
      </c>
      <c r="AQ127">
        <f t="shared" ca="1" si="19"/>
        <v>0</v>
      </c>
      <c r="AR127">
        <f t="shared" ca="1" si="20"/>
        <v>0</v>
      </c>
      <c r="AS127">
        <f t="shared" si="21"/>
        <v>0.5</v>
      </c>
    </row>
    <row r="128" spans="1:45" x14ac:dyDescent="0.3">
      <c r="A128" s="1">
        <v>194</v>
      </c>
      <c r="B128" s="2" t="s">
        <v>157</v>
      </c>
      <c r="C128" t="s">
        <v>331</v>
      </c>
      <c r="D128">
        <v>2019</v>
      </c>
      <c r="E128">
        <v>2</v>
      </c>
      <c r="F128">
        <v>3</v>
      </c>
      <c r="G128" t="s">
        <v>561</v>
      </c>
      <c r="H128" t="s">
        <v>672</v>
      </c>
      <c r="I128" t="s">
        <v>994</v>
      </c>
      <c r="J128" t="s">
        <v>1266</v>
      </c>
      <c r="K128" t="s">
        <v>1494</v>
      </c>
      <c r="L128" t="s">
        <v>1689</v>
      </c>
      <c r="M128" t="s">
        <v>1841</v>
      </c>
      <c r="Z128" s="21" t="s">
        <v>2166</v>
      </c>
      <c r="AA128" s="21" t="s">
        <v>2166</v>
      </c>
      <c r="AB128" s="22" t="s">
        <v>2167</v>
      </c>
      <c r="AI128">
        <f t="shared" si="11"/>
        <v>2</v>
      </c>
      <c r="AJ128">
        <f t="shared" si="12"/>
        <v>0</v>
      </c>
      <c r="AK128">
        <f t="shared" ca="1" si="13"/>
        <v>2</v>
      </c>
      <c r="AL128">
        <f t="shared" ca="1" si="14"/>
        <v>0</v>
      </c>
      <c r="AM128">
        <f t="shared" ca="1" si="15"/>
        <v>1</v>
      </c>
      <c r="AN128">
        <f t="shared" ca="1" si="16"/>
        <v>0</v>
      </c>
      <c r="AO128">
        <f t="shared" ca="1" si="17"/>
        <v>0</v>
      </c>
      <c r="AP128">
        <f t="shared" ca="1" si="18"/>
        <v>1</v>
      </c>
      <c r="AQ128">
        <f t="shared" ca="1" si="19"/>
        <v>1</v>
      </c>
      <c r="AR128">
        <f t="shared" ca="1" si="20"/>
        <v>0.22222222222222221</v>
      </c>
      <c r="AS128">
        <f t="shared" si="21"/>
        <v>0.5</v>
      </c>
    </row>
    <row r="129" spans="1:45" x14ac:dyDescent="0.3">
      <c r="A129" s="1">
        <v>195</v>
      </c>
      <c r="B129" s="2" t="s">
        <v>158</v>
      </c>
      <c r="C129" t="s">
        <v>332</v>
      </c>
      <c r="D129">
        <v>2018</v>
      </c>
      <c r="E129">
        <v>2</v>
      </c>
      <c r="F129">
        <v>3</v>
      </c>
      <c r="G129" t="s">
        <v>561</v>
      </c>
      <c r="H129" t="s">
        <v>673</v>
      </c>
      <c r="I129" t="s">
        <v>995</v>
      </c>
      <c r="J129" t="s">
        <v>1267</v>
      </c>
      <c r="K129" t="s">
        <v>1495</v>
      </c>
      <c r="L129" t="s">
        <v>1690</v>
      </c>
      <c r="M129" t="s">
        <v>1842</v>
      </c>
      <c r="Z129" s="23" t="s">
        <v>2168</v>
      </c>
      <c r="AA129" s="21" t="s">
        <v>2166</v>
      </c>
      <c r="AB129" s="23" t="s">
        <v>2168</v>
      </c>
      <c r="AI129">
        <f t="shared" si="11"/>
        <v>1</v>
      </c>
      <c r="AJ129">
        <f t="shared" si="12"/>
        <v>2</v>
      </c>
      <c r="AK129">
        <f t="shared" ca="1" si="13"/>
        <v>1</v>
      </c>
      <c r="AL129">
        <f t="shared" ca="1" si="14"/>
        <v>2</v>
      </c>
      <c r="AM129">
        <f t="shared" ca="1" si="15"/>
        <v>0</v>
      </c>
      <c r="AN129">
        <f t="shared" ca="1" si="16"/>
        <v>0</v>
      </c>
      <c r="AO129">
        <f t="shared" ca="1" si="17"/>
        <v>0</v>
      </c>
      <c r="AP129">
        <f t="shared" ca="1" si="18"/>
        <v>0</v>
      </c>
      <c r="AQ129">
        <f t="shared" ca="1" si="19"/>
        <v>1</v>
      </c>
      <c r="AR129">
        <f t="shared" ca="1" si="20"/>
        <v>0.33333333333333331</v>
      </c>
      <c r="AS129">
        <f t="shared" si="21"/>
        <v>0.5</v>
      </c>
    </row>
    <row r="130" spans="1:45" x14ac:dyDescent="0.3">
      <c r="A130" s="1">
        <v>196</v>
      </c>
      <c r="B130" s="2" t="s">
        <v>159</v>
      </c>
      <c r="C130" t="s">
        <v>333</v>
      </c>
      <c r="D130">
        <v>2019</v>
      </c>
      <c r="E130">
        <v>2</v>
      </c>
      <c r="F130">
        <v>2</v>
      </c>
      <c r="G130" t="s">
        <v>561</v>
      </c>
      <c r="H130" t="s">
        <v>674</v>
      </c>
      <c r="I130" t="s">
        <v>996</v>
      </c>
      <c r="J130" t="s">
        <v>1268</v>
      </c>
      <c r="K130" t="s">
        <v>1496</v>
      </c>
      <c r="Z130" s="23" t="s">
        <v>2168</v>
      </c>
      <c r="AA130" s="21" t="s">
        <v>2166</v>
      </c>
      <c r="AI130">
        <f t="shared" si="11"/>
        <v>1</v>
      </c>
      <c r="AJ130">
        <f t="shared" si="12"/>
        <v>1</v>
      </c>
      <c r="AK130">
        <f t="shared" ca="1" si="13"/>
        <v>1</v>
      </c>
      <c r="AL130">
        <f t="shared" ca="1" si="14"/>
        <v>1</v>
      </c>
      <c r="AM130">
        <f t="shared" ca="1" si="15"/>
        <v>0</v>
      </c>
      <c r="AN130">
        <f t="shared" ca="1" si="16"/>
        <v>0</v>
      </c>
      <c r="AO130">
        <f t="shared" ca="1" si="17"/>
        <v>0</v>
      </c>
      <c r="AP130">
        <f t="shared" ca="1" si="18"/>
        <v>0</v>
      </c>
      <c r="AQ130">
        <f t="shared" ca="1" si="19"/>
        <v>1</v>
      </c>
      <c r="AR130">
        <f t="shared" ca="1" si="20"/>
        <v>0.5</v>
      </c>
      <c r="AS130">
        <f t="shared" si="21"/>
        <v>0.5</v>
      </c>
    </row>
    <row r="131" spans="1:45" x14ac:dyDescent="0.3">
      <c r="A131" s="1">
        <v>197</v>
      </c>
      <c r="B131" s="2" t="s">
        <v>160</v>
      </c>
      <c r="C131" t="s">
        <v>334</v>
      </c>
      <c r="D131">
        <v>2019</v>
      </c>
      <c r="E131">
        <v>2</v>
      </c>
      <c r="F131">
        <v>3</v>
      </c>
      <c r="G131" t="s">
        <v>561</v>
      </c>
      <c r="H131" t="s">
        <v>675</v>
      </c>
      <c r="I131" t="s">
        <v>997</v>
      </c>
      <c r="J131" t="s">
        <v>1269</v>
      </c>
      <c r="K131" t="s">
        <v>1497</v>
      </c>
      <c r="L131" t="s">
        <v>1691</v>
      </c>
      <c r="M131" t="s">
        <v>1843</v>
      </c>
      <c r="Z131" s="22" t="s">
        <v>2167</v>
      </c>
      <c r="AA131" s="21" t="s">
        <v>2166</v>
      </c>
      <c r="AB131" s="22" t="s">
        <v>2167</v>
      </c>
      <c r="AI131">
        <f t="shared" ref="AI131:AI194" si="22">COUNTIF(Z131:AH131,"f")</f>
        <v>1</v>
      </c>
      <c r="AJ131">
        <f t="shared" ref="AJ131:AJ194" si="23">COUNTIF(Z131:AI131,"m")</f>
        <v>0</v>
      </c>
      <c r="AK131">
        <f t="shared" ref="AK131:AK194" ca="1" si="24">CountCellsByColor(Z131:AH131,$Z$2)</f>
        <v>1</v>
      </c>
      <c r="AL131">
        <f t="shared" ref="AL131:AL194" ca="1" si="25">CountCellsByColor(Z131:AH131,$Z$4)</f>
        <v>0</v>
      </c>
      <c r="AM131">
        <f t="shared" ref="AM131:AM194" ca="1" si="26">CountCellsByColor(Z131:AH131,$Z$3)</f>
        <v>2</v>
      </c>
      <c r="AN131">
        <f t="shared" ref="AN131:AN194" ca="1" si="27">IF(AK131=F131,1,0)</f>
        <v>0</v>
      </c>
      <c r="AO131">
        <f t="shared" ref="AO131:AO194" ca="1" si="28">IF(AL131=F131,1,0)</f>
        <v>0</v>
      </c>
      <c r="AP131">
        <f t="shared" ref="AP131:AP194" ca="1" si="29">IF(AM131&gt;=1,1,0)</f>
        <v>1</v>
      </c>
      <c r="AQ131">
        <f t="shared" ref="AQ131:AQ194" ca="1" si="30">IF(AND(AN131=0, AO131=0),1,0)</f>
        <v>1</v>
      </c>
      <c r="AR131">
        <f t="shared" ref="AR131:AR194" ca="1" si="31">IF(AK131=1, 1/F131, IF(AK131 = 2, (1/F131)*(2/F131), IF(AK131 = 3, (1/F131)*(2/F131)*(3/F131), IF(AK131 = 4, (1/F131)*(2/F131)*(3/F131)*(4/F131),IF(AK131 = 5, (1/F131)*(2/F131)*(3/F131)*(4/F131)*(5/F131),IF(AK131 = 6, (1/F131)*(2/F131)*(3/F131)*(4/F131)*(5/F131)*(6/F131), 0))))))</f>
        <v>0.33333333333333331</v>
      </c>
      <c r="AS131">
        <f t="shared" ref="AS131:AS165" si="32">1/E131</f>
        <v>0.5</v>
      </c>
    </row>
    <row r="132" spans="1:45" x14ac:dyDescent="0.3">
      <c r="A132" s="1">
        <v>198</v>
      </c>
      <c r="B132" s="2" t="s">
        <v>161</v>
      </c>
      <c r="C132" t="s">
        <v>335</v>
      </c>
      <c r="D132">
        <v>2019</v>
      </c>
      <c r="E132">
        <v>2</v>
      </c>
      <c r="F132">
        <v>3</v>
      </c>
      <c r="G132" t="s">
        <v>561</v>
      </c>
      <c r="H132" t="s">
        <v>676</v>
      </c>
      <c r="I132" t="s">
        <v>998</v>
      </c>
      <c r="J132" t="s">
        <v>1270</v>
      </c>
      <c r="K132" t="s">
        <v>1498</v>
      </c>
      <c r="L132" t="s">
        <v>1692</v>
      </c>
      <c r="M132" t="s">
        <v>1844</v>
      </c>
      <c r="Z132" s="21" t="s">
        <v>2166</v>
      </c>
      <c r="AA132" s="23" t="s">
        <v>2168</v>
      </c>
      <c r="AB132" s="21" t="s">
        <v>2166</v>
      </c>
      <c r="AI132">
        <f t="shared" si="22"/>
        <v>2</v>
      </c>
      <c r="AJ132">
        <f t="shared" si="23"/>
        <v>1</v>
      </c>
      <c r="AK132">
        <f t="shared" ca="1" si="24"/>
        <v>2</v>
      </c>
      <c r="AL132">
        <f t="shared" ca="1" si="25"/>
        <v>1</v>
      </c>
      <c r="AM132">
        <f t="shared" ca="1" si="26"/>
        <v>0</v>
      </c>
      <c r="AN132">
        <f t="shared" ca="1" si="27"/>
        <v>0</v>
      </c>
      <c r="AO132">
        <f t="shared" ca="1" si="28"/>
        <v>0</v>
      </c>
      <c r="AP132">
        <f t="shared" ca="1" si="29"/>
        <v>0</v>
      </c>
      <c r="AQ132">
        <f t="shared" ca="1" si="30"/>
        <v>1</v>
      </c>
      <c r="AR132">
        <f t="shared" ca="1" si="31"/>
        <v>0.22222222222222221</v>
      </c>
      <c r="AS132">
        <f t="shared" si="32"/>
        <v>0.5</v>
      </c>
    </row>
    <row r="133" spans="1:45" x14ac:dyDescent="0.3">
      <c r="A133" s="1">
        <v>199</v>
      </c>
      <c r="B133" s="2" t="s">
        <v>162</v>
      </c>
      <c r="C133" t="s">
        <v>336</v>
      </c>
      <c r="D133">
        <v>2019</v>
      </c>
      <c r="E133">
        <v>2</v>
      </c>
      <c r="F133">
        <v>2</v>
      </c>
      <c r="G133" t="s">
        <v>561</v>
      </c>
      <c r="H133" t="s">
        <v>677</v>
      </c>
      <c r="I133" t="s">
        <v>999</v>
      </c>
      <c r="J133" t="s">
        <v>1271</v>
      </c>
      <c r="K133" t="s">
        <v>1499</v>
      </c>
      <c r="Z133" s="21" t="s">
        <v>2166</v>
      </c>
      <c r="AA133" s="23" t="s">
        <v>2168</v>
      </c>
      <c r="AI133">
        <f t="shared" si="22"/>
        <v>1</v>
      </c>
      <c r="AJ133">
        <f t="shared" si="23"/>
        <v>1</v>
      </c>
      <c r="AK133">
        <f t="shared" ca="1" si="24"/>
        <v>1</v>
      </c>
      <c r="AL133">
        <f t="shared" ca="1" si="25"/>
        <v>1</v>
      </c>
      <c r="AM133">
        <f t="shared" ca="1" si="26"/>
        <v>0</v>
      </c>
      <c r="AN133">
        <f t="shared" ca="1" si="27"/>
        <v>0</v>
      </c>
      <c r="AO133">
        <f t="shared" ca="1" si="28"/>
        <v>0</v>
      </c>
      <c r="AP133">
        <f t="shared" ca="1" si="29"/>
        <v>0</v>
      </c>
      <c r="AQ133">
        <f t="shared" ca="1" si="30"/>
        <v>1</v>
      </c>
      <c r="AR133">
        <f t="shared" ca="1" si="31"/>
        <v>0.5</v>
      </c>
      <c r="AS133">
        <f t="shared" si="32"/>
        <v>0.5</v>
      </c>
    </row>
    <row r="134" spans="1:45" x14ac:dyDescent="0.3">
      <c r="A134" s="1">
        <v>200</v>
      </c>
      <c r="B134" s="2" t="s">
        <v>163</v>
      </c>
      <c r="C134" t="s">
        <v>337</v>
      </c>
      <c r="D134">
        <v>2019</v>
      </c>
      <c r="E134">
        <v>2</v>
      </c>
      <c r="F134">
        <v>1</v>
      </c>
      <c r="G134" t="s">
        <v>561</v>
      </c>
      <c r="H134" t="s">
        <v>590</v>
      </c>
      <c r="I134" t="s">
        <v>912</v>
      </c>
      <c r="Z134" s="21" t="s">
        <v>2166</v>
      </c>
      <c r="AI134">
        <f t="shared" si="22"/>
        <v>1</v>
      </c>
      <c r="AJ134">
        <f t="shared" si="23"/>
        <v>0</v>
      </c>
      <c r="AK134">
        <f t="shared" ca="1" si="24"/>
        <v>1</v>
      </c>
      <c r="AL134">
        <f t="shared" ca="1" si="25"/>
        <v>0</v>
      </c>
      <c r="AM134">
        <f t="shared" ca="1" si="26"/>
        <v>0</v>
      </c>
      <c r="AN134">
        <f t="shared" ca="1" si="27"/>
        <v>1</v>
      </c>
      <c r="AO134">
        <f t="shared" ca="1" si="28"/>
        <v>0</v>
      </c>
      <c r="AP134">
        <f t="shared" ca="1" si="29"/>
        <v>0</v>
      </c>
      <c r="AQ134">
        <f t="shared" ca="1" si="30"/>
        <v>0</v>
      </c>
      <c r="AR134">
        <f t="shared" ca="1" si="31"/>
        <v>1</v>
      </c>
      <c r="AS134">
        <f t="shared" si="32"/>
        <v>0.5</v>
      </c>
    </row>
    <row r="135" spans="1:45" x14ac:dyDescent="0.3">
      <c r="A135" s="1">
        <v>201</v>
      </c>
      <c r="B135" s="2" t="s">
        <v>164</v>
      </c>
      <c r="C135" t="s">
        <v>338</v>
      </c>
      <c r="D135">
        <v>2020</v>
      </c>
      <c r="E135">
        <v>2</v>
      </c>
      <c r="F135">
        <v>4</v>
      </c>
      <c r="G135" t="s">
        <v>561</v>
      </c>
      <c r="H135" t="s">
        <v>595</v>
      </c>
      <c r="I135" t="s">
        <v>917</v>
      </c>
      <c r="J135" t="s">
        <v>1272</v>
      </c>
      <c r="K135" t="s">
        <v>1500</v>
      </c>
      <c r="L135" t="s">
        <v>1693</v>
      </c>
      <c r="M135" t="s">
        <v>1845</v>
      </c>
      <c r="N135" t="s">
        <v>593</v>
      </c>
      <c r="O135" t="s">
        <v>915</v>
      </c>
      <c r="Z135" s="21" t="s">
        <v>2166</v>
      </c>
      <c r="AA135" s="21" t="s">
        <v>2166</v>
      </c>
      <c r="AB135" s="23" t="s">
        <v>2168</v>
      </c>
      <c r="AC135" s="23" t="s">
        <v>2168</v>
      </c>
      <c r="AI135">
        <f t="shared" si="22"/>
        <v>2</v>
      </c>
      <c r="AJ135">
        <f t="shared" si="23"/>
        <v>2</v>
      </c>
      <c r="AK135">
        <f t="shared" ca="1" si="24"/>
        <v>2</v>
      </c>
      <c r="AL135">
        <f t="shared" ca="1" si="25"/>
        <v>2</v>
      </c>
      <c r="AM135">
        <f t="shared" ca="1" si="26"/>
        <v>0</v>
      </c>
      <c r="AN135">
        <f t="shared" ca="1" si="27"/>
        <v>0</v>
      </c>
      <c r="AO135">
        <f t="shared" ca="1" si="28"/>
        <v>0</v>
      </c>
      <c r="AP135">
        <f t="shared" ca="1" si="29"/>
        <v>0</v>
      </c>
      <c r="AQ135">
        <f t="shared" ca="1" si="30"/>
        <v>1</v>
      </c>
      <c r="AR135">
        <f t="shared" ca="1" si="31"/>
        <v>0.125</v>
      </c>
      <c r="AS135">
        <f t="shared" si="32"/>
        <v>0.5</v>
      </c>
    </row>
    <row r="136" spans="1:45" x14ac:dyDescent="0.3">
      <c r="A136" s="1">
        <v>202</v>
      </c>
      <c r="B136" s="2" t="s">
        <v>165</v>
      </c>
      <c r="C136" t="s">
        <v>339</v>
      </c>
      <c r="D136">
        <v>2020</v>
      </c>
      <c r="E136">
        <v>2</v>
      </c>
      <c r="F136">
        <v>2</v>
      </c>
      <c r="G136" t="s">
        <v>561</v>
      </c>
      <c r="H136" t="s">
        <v>678</v>
      </c>
      <c r="I136" t="s">
        <v>1000</v>
      </c>
      <c r="J136" t="s">
        <v>570</v>
      </c>
      <c r="K136" t="s">
        <v>892</v>
      </c>
      <c r="Z136" s="22" t="s">
        <v>2167</v>
      </c>
      <c r="AA136" s="23" t="s">
        <v>2168</v>
      </c>
      <c r="AI136">
        <f t="shared" si="22"/>
        <v>0</v>
      </c>
      <c r="AJ136">
        <f t="shared" si="23"/>
        <v>1</v>
      </c>
      <c r="AK136">
        <f t="shared" ca="1" si="24"/>
        <v>0</v>
      </c>
      <c r="AL136">
        <f t="shared" ca="1" si="25"/>
        <v>1</v>
      </c>
      <c r="AM136">
        <f t="shared" ca="1" si="26"/>
        <v>1</v>
      </c>
      <c r="AN136">
        <f t="shared" ca="1" si="27"/>
        <v>0</v>
      </c>
      <c r="AO136">
        <f t="shared" ca="1" si="28"/>
        <v>0</v>
      </c>
      <c r="AP136">
        <f t="shared" ca="1" si="29"/>
        <v>1</v>
      </c>
      <c r="AQ136">
        <f t="shared" ca="1" si="30"/>
        <v>1</v>
      </c>
      <c r="AR136">
        <f t="shared" ca="1" si="31"/>
        <v>0</v>
      </c>
      <c r="AS136">
        <f t="shared" si="32"/>
        <v>0.5</v>
      </c>
    </row>
    <row r="137" spans="1:45" x14ac:dyDescent="0.3">
      <c r="A137" s="1">
        <v>203</v>
      </c>
      <c r="B137" s="2" t="s">
        <v>166</v>
      </c>
      <c r="C137" t="s">
        <v>340</v>
      </c>
      <c r="D137">
        <v>2020</v>
      </c>
      <c r="E137">
        <v>2</v>
      </c>
      <c r="F137">
        <v>2</v>
      </c>
      <c r="G137" t="s">
        <v>561</v>
      </c>
      <c r="H137" t="s">
        <v>679</v>
      </c>
      <c r="I137" t="s">
        <v>1001</v>
      </c>
      <c r="J137" t="s">
        <v>1273</v>
      </c>
      <c r="K137" t="s">
        <v>1501</v>
      </c>
      <c r="Z137" s="21" t="s">
        <v>2166</v>
      </c>
      <c r="AA137" s="23" t="s">
        <v>2168</v>
      </c>
      <c r="AI137">
        <f t="shared" si="22"/>
        <v>1</v>
      </c>
      <c r="AJ137">
        <f t="shared" si="23"/>
        <v>1</v>
      </c>
      <c r="AK137">
        <f t="shared" ca="1" si="24"/>
        <v>1</v>
      </c>
      <c r="AL137">
        <f t="shared" ca="1" si="25"/>
        <v>1</v>
      </c>
      <c r="AM137">
        <f t="shared" ca="1" si="26"/>
        <v>0</v>
      </c>
      <c r="AN137">
        <f t="shared" ca="1" si="27"/>
        <v>0</v>
      </c>
      <c r="AO137">
        <f t="shared" ca="1" si="28"/>
        <v>0</v>
      </c>
      <c r="AP137">
        <f t="shared" ca="1" si="29"/>
        <v>0</v>
      </c>
      <c r="AQ137">
        <f t="shared" ca="1" si="30"/>
        <v>1</v>
      </c>
      <c r="AR137">
        <f t="shared" ca="1" si="31"/>
        <v>0.5</v>
      </c>
      <c r="AS137">
        <f t="shared" si="32"/>
        <v>0.5</v>
      </c>
    </row>
    <row r="138" spans="1:45" x14ac:dyDescent="0.3">
      <c r="A138" s="1">
        <v>204</v>
      </c>
      <c r="B138" s="2" t="s">
        <v>167</v>
      </c>
      <c r="C138" t="s">
        <v>341</v>
      </c>
      <c r="D138">
        <v>2017</v>
      </c>
      <c r="E138">
        <v>2</v>
      </c>
      <c r="F138">
        <v>3</v>
      </c>
      <c r="G138" t="s">
        <v>561</v>
      </c>
      <c r="H138" t="s">
        <v>680</v>
      </c>
      <c r="I138" t="s">
        <v>1002</v>
      </c>
      <c r="J138" t="s">
        <v>693</v>
      </c>
      <c r="K138" t="s">
        <v>1015</v>
      </c>
      <c r="L138" t="s">
        <v>1694</v>
      </c>
      <c r="M138" t="s">
        <v>1511</v>
      </c>
      <c r="Z138" s="23" t="s">
        <v>2168</v>
      </c>
      <c r="AA138" s="21" t="s">
        <v>2166</v>
      </c>
      <c r="AB138" s="21" t="s">
        <v>2166</v>
      </c>
      <c r="AI138">
        <f t="shared" si="22"/>
        <v>2</v>
      </c>
      <c r="AJ138">
        <f t="shared" si="23"/>
        <v>1</v>
      </c>
      <c r="AK138">
        <f t="shared" ca="1" si="24"/>
        <v>2</v>
      </c>
      <c r="AL138">
        <f t="shared" ca="1" si="25"/>
        <v>1</v>
      </c>
      <c r="AM138">
        <f t="shared" ca="1" si="26"/>
        <v>0</v>
      </c>
      <c r="AN138">
        <f t="shared" ca="1" si="27"/>
        <v>0</v>
      </c>
      <c r="AO138">
        <f t="shared" ca="1" si="28"/>
        <v>0</v>
      </c>
      <c r="AP138">
        <f t="shared" ca="1" si="29"/>
        <v>0</v>
      </c>
      <c r="AQ138">
        <f t="shared" ca="1" si="30"/>
        <v>1</v>
      </c>
      <c r="AR138">
        <f t="shared" ca="1" si="31"/>
        <v>0.22222222222222221</v>
      </c>
      <c r="AS138">
        <f t="shared" si="32"/>
        <v>0.5</v>
      </c>
    </row>
    <row r="139" spans="1:45" x14ac:dyDescent="0.3">
      <c r="A139" s="1">
        <v>206</v>
      </c>
      <c r="B139" s="2" t="s">
        <v>168</v>
      </c>
      <c r="C139" t="s">
        <v>342</v>
      </c>
      <c r="D139">
        <v>2021</v>
      </c>
      <c r="E139">
        <v>2</v>
      </c>
      <c r="F139">
        <v>6</v>
      </c>
      <c r="G139" t="s">
        <v>561</v>
      </c>
      <c r="H139" t="s">
        <v>681</v>
      </c>
      <c r="I139" t="s">
        <v>1003</v>
      </c>
      <c r="J139" t="s">
        <v>1274</v>
      </c>
      <c r="K139" t="s">
        <v>1502</v>
      </c>
      <c r="L139" t="s">
        <v>1695</v>
      </c>
      <c r="M139" t="s">
        <v>1846</v>
      </c>
      <c r="N139" t="s">
        <v>1953</v>
      </c>
      <c r="O139" t="s">
        <v>2013</v>
      </c>
      <c r="P139" t="s">
        <v>2063</v>
      </c>
      <c r="Q139" t="s">
        <v>2088</v>
      </c>
      <c r="R139" t="s">
        <v>2111</v>
      </c>
      <c r="S139" t="s">
        <v>2126</v>
      </c>
      <c r="Z139" s="22" t="s">
        <v>2167</v>
      </c>
      <c r="AA139" s="21" t="s">
        <v>2166</v>
      </c>
      <c r="AB139" s="21" t="s">
        <v>2166</v>
      </c>
      <c r="AC139" s="21" t="s">
        <v>2166</v>
      </c>
      <c r="AD139" s="23" t="s">
        <v>2168</v>
      </c>
      <c r="AE139" s="21" t="s">
        <v>2166</v>
      </c>
      <c r="AI139">
        <f t="shared" si="22"/>
        <v>4</v>
      </c>
      <c r="AJ139">
        <f t="shared" si="23"/>
        <v>1</v>
      </c>
      <c r="AK139">
        <f t="shared" ca="1" si="24"/>
        <v>4</v>
      </c>
      <c r="AL139">
        <f t="shared" ca="1" si="25"/>
        <v>1</v>
      </c>
      <c r="AM139">
        <f t="shared" ca="1" si="26"/>
        <v>1</v>
      </c>
      <c r="AN139">
        <f t="shared" ca="1" si="27"/>
        <v>0</v>
      </c>
      <c r="AO139">
        <f t="shared" ca="1" si="28"/>
        <v>0</v>
      </c>
      <c r="AP139">
        <f t="shared" ca="1" si="29"/>
        <v>1</v>
      </c>
      <c r="AQ139">
        <f t="shared" ca="1" si="30"/>
        <v>1</v>
      </c>
      <c r="AR139">
        <f t="shared" ca="1" si="31"/>
        <v>1.8518518518518517E-2</v>
      </c>
      <c r="AS139">
        <f t="shared" si="32"/>
        <v>0.5</v>
      </c>
    </row>
    <row r="140" spans="1:45" x14ac:dyDescent="0.3">
      <c r="A140" s="1">
        <v>207</v>
      </c>
      <c r="B140" s="2" t="s">
        <v>169</v>
      </c>
      <c r="C140" t="s">
        <v>343</v>
      </c>
      <c r="D140">
        <v>2021</v>
      </c>
      <c r="E140">
        <v>2</v>
      </c>
      <c r="F140">
        <v>4</v>
      </c>
      <c r="G140" t="s">
        <v>561</v>
      </c>
      <c r="H140" t="s">
        <v>610</v>
      </c>
      <c r="I140" t="s">
        <v>932</v>
      </c>
      <c r="J140" t="s">
        <v>1275</v>
      </c>
      <c r="K140" t="s">
        <v>1503</v>
      </c>
      <c r="L140" t="s">
        <v>1696</v>
      </c>
      <c r="M140" t="s">
        <v>1847</v>
      </c>
      <c r="N140" t="s">
        <v>1954</v>
      </c>
      <c r="O140" t="s">
        <v>2014</v>
      </c>
      <c r="Z140" s="21" t="s">
        <v>2166</v>
      </c>
      <c r="AA140" s="21" t="s">
        <v>2166</v>
      </c>
      <c r="AB140" s="22" t="s">
        <v>2167</v>
      </c>
      <c r="AC140" s="22" t="s">
        <v>2167</v>
      </c>
      <c r="AI140">
        <f t="shared" si="22"/>
        <v>2</v>
      </c>
      <c r="AJ140">
        <f t="shared" si="23"/>
        <v>0</v>
      </c>
      <c r="AK140">
        <f t="shared" ca="1" si="24"/>
        <v>2</v>
      </c>
      <c r="AL140">
        <f t="shared" ca="1" si="25"/>
        <v>0</v>
      </c>
      <c r="AM140">
        <f t="shared" ca="1" si="26"/>
        <v>2</v>
      </c>
      <c r="AN140">
        <f t="shared" ca="1" si="27"/>
        <v>0</v>
      </c>
      <c r="AO140">
        <f t="shared" ca="1" si="28"/>
        <v>0</v>
      </c>
      <c r="AP140">
        <f t="shared" ca="1" si="29"/>
        <v>1</v>
      </c>
      <c r="AQ140">
        <f t="shared" ca="1" si="30"/>
        <v>1</v>
      </c>
      <c r="AR140">
        <f t="shared" ca="1" si="31"/>
        <v>0.125</v>
      </c>
      <c r="AS140">
        <f t="shared" si="32"/>
        <v>0.5</v>
      </c>
    </row>
    <row r="141" spans="1:45" x14ac:dyDescent="0.3">
      <c r="A141" s="1">
        <v>208</v>
      </c>
      <c r="B141" s="2" t="s">
        <v>170</v>
      </c>
      <c r="C141" t="s">
        <v>344</v>
      </c>
      <c r="D141">
        <v>2021</v>
      </c>
      <c r="E141">
        <v>2</v>
      </c>
      <c r="F141">
        <v>2</v>
      </c>
      <c r="G141" t="s">
        <v>561</v>
      </c>
      <c r="H141" t="s">
        <v>682</v>
      </c>
      <c r="I141" t="s">
        <v>1004</v>
      </c>
      <c r="J141" t="s">
        <v>1276</v>
      </c>
      <c r="Z141" s="23" t="s">
        <v>2168</v>
      </c>
      <c r="AI141">
        <f t="shared" si="22"/>
        <v>0</v>
      </c>
      <c r="AJ141">
        <f t="shared" si="23"/>
        <v>1</v>
      </c>
      <c r="AK141">
        <f t="shared" ca="1" si="24"/>
        <v>0</v>
      </c>
      <c r="AL141">
        <f t="shared" ca="1" si="25"/>
        <v>1</v>
      </c>
      <c r="AM141">
        <f t="shared" ca="1" si="26"/>
        <v>0</v>
      </c>
      <c r="AN141">
        <f t="shared" ca="1" si="27"/>
        <v>0</v>
      </c>
      <c r="AO141">
        <f t="shared" ca="1" si="28"/>
        <v>0</v>
      </c>
      <c r="AP141">
        <f t="shared" ca="1" si="29"/>
        <v>0</v>
      </c>
      <c r="AQ141">
        <f t="shared" ca="1" si="30"/>
        <v>1</v>
      </c>
      <c r="AR141">
        <f t="shared" ca="1" si="31"/>
        <v>0</v>
      </c>
      <c r="AS141">
        <f t="shared" si="32"/>
        <v>0.5</v>
      </c>
    </row>
    <row r="142" spans="1:45" x14ac:dyDescent="0.3">
      <c r="A142" s="1">
        <v>209</v>
      </c>
      <c r="C142" t="s">
        <v>345</v>
      </c>
      <c r="D142">
        <v>2019</v>
      </c>
      <c r="E142">
        <v>2</v>
      </c>
      <c r="F142">
        <v>4</v>
      </c>
      <c r="G142" t="s">
        <v>561</v>
      </c>
      <c r="H142" t="s">
        <v>683</v>
      </c>
      <c r="I142" t="s">
        <v>1005</v>
      </c>
      <c r="J142" t="s">
        <v>1277</v>
      </c>
      <c r="K142" t="s">
        <v>1504</v>
      </c>
      <c r="L142" t="s">
        <v>1697</v>
      </c>
      <c r="M142" t="s">
        <v>1848</v>
      </c>
      <c r="N142" t="s">
        <v>1955</v>
      </c>
      <c r="O142" t="s">
        <v>2015</v>
      </c>
      <c r="Z142" s="21" t="s">
        <v>2166</v>
      </c>
      <c r="AA142" s="22" t="s">
        <v>2167</v>
      </c>
      <c r="AB142" s="21" t="s">
        <v>2166</v>
      </c>
      <c r="AC142" s="22" t="s">
        <v>2167</v>
      </c>
      <c r="AI142">
        <f t="shared" si="22"/>
        <v>2</v>
      </c>
      <c r="AJ142">
        <f t="shared" si="23"/>
        <v>0</v>
      </c>
      <c r="AK142">
        <f t="shared" ca="1" si="24"/>
        <v>2</v>
      </c>
      <c r="AL142">
        <f t="shared" ca="1" si="25"/>
        <v>0</v>
      </c>
      <c r="AM142">
        <f t="shared" ca="1" si="26"/>
        <v>2</v>
      </c>
      <c r="AN142">
        <f t="shared" ca="1" si="27"/>
        <v>0</v>
      </c>
      <c r="AO142">
        <f t="shared" ca="1" si="28"/>
        <v>0</v>
      </c>
      <c r="AP142">
        <f t="shared" ca="1" si="29"/>
        <v>1</v>
      </c>
      <c r="AQ142">
        <f t="shared" ca="1" si="30"/>
        <v>1</v>
      </c>
      <c r="AR142">
        <f t="shared" ca="1" si="31"/>
        <v>0.125</v>
      </c>
      <c r="AS142">
        <f t="shared" si="32"/>
        <v>0.5</v>
      </c>
    </row>
    <row r="143" spans="1:45" x14ac:dyDescent="0.3">
      <c r="A143" s="1">
        <v>210</v>
      </c>
      <c r="B143" s="2" t="s">
        <v>171</v>
      </c>
      <c r="C143" t="s">
        <v>346</v>
      </c>
      <c r="D143">
        <v>2017</v>
      </c>
      <c r="E143">
        <v>2</v>
      </c>
      <c r="F143">
        <v>4</v>
      </c>
      <c r="G143" t="s">
        <v>561</v>
      </c>
      <c r="H143" t="s">
        <v>684</v>
      </c>
      <c r="I143" t="s">
        <v>1006</v>
      </c>
      <c r="J143" t="s">
        <v>1278</v>
      </c>
      <c r="K143" t="s">
        <v>1505</v>
      </c>
      <c r="L143" t="s">
        <v>1698</v>
      </c>
      <c r="M143" t="s">
        <v>1849</v>
      </c>
      <c r="N143" t="s">
        <v>1956</v>
      </c>
      <c r="O143" t="s">
        <v>2016</v>
      </c>
      <c r="Z143" s="21" t="s">
        <v>2166</v>
      </c>
      <c r="AA143" s="22" t="s">
        <v>2167</v>
      </c>
      <c r="AB143" s="21" t="s">
        <v>2166</v>
      </c>
      <c r="AC143" s="21" t="s">
        <v>2166</v>
      </c>
      <c r="AI143">
        <f t="shared" si="22"/>
        <v>3</v>
      </c>
      <c r="AJ143">
        <f t="shared" si="23"/>
        <v>0</v>
      </c>
      <c r="AK143">
        <f t="shared" ca="1" si="24"/>
        <v>3</v>
      </c>
      <c r="AL143">
        <f t="shared" ca="1" si="25"/>
        <v>0</v>
      </c>
      <c r="AM143">
        <f t="shared" ca="1" si="26"/>
        <v>1</v>
      </c>
      <c r="AN143">
        <f t="shared" ca="1" si="27"/>
        <v>0</v>
      </c>
      <c r="AO143">
        <f t="shared" ca="1" si="28"/>
        <v>0</v>
      </c>
      <c r="AP143">
        <f t="shared" ca="1" si="29"/>
        <v>1</v>
      </c>
      <c r="AQ143">
        <f t="shared" ca="1" si="30"/>
        <v>1</v>
      </c>
      <c r="AR143">
        <f t="shared" ca="1" si="31"/>
        <v>9.375E-2</v>
      </c>
      <c r="AS143">
        <f t="shared" si="32"/>
        <v>0.5</v>
      </c>
    </row>
    <row r="144" spans="1:45" x14ac:dyDescent="0.3">
      <c r="A144" s="1">
        <v>238</v>
      </c>
      <c r="C144" t="s">
        <v>347</v>
      </c>
      <c r="D144">
        <v>2017</v>
      </c>
      <c r="E144">
        <v>1</v>
      </c>
      <c r="F144">
        <v>2</v>
      </c>
      <c r="G144" t="s">
        <v>561</v>
      </c>
      <c r="H144" t="s">
        <v>685</v>
      </c>
      <c r="I144" t="s">
        <v>1007</v>
      </c>
      <c r="J144" t="s">
        <v>1279</v>
      </c>
      <c r="K144" t="s">
        <v>1506</v>
      </c>
      <c r="Z144" s="21" t="s">
        <v>2166</v>
      </c>
      <c r="AA144" s="21" t="s">
        <v>2166</v>
      </c>
      <c r="AI144">
        <f t="shared" si="22"/>
        <v>2</v>
      </c>
      <c r="AJ144">
        <f t="shared" si="23"/>
        <v>0</v>
      </c>
      <c r="AK144">
        <f t="shared" ca="1" si="24"/>
        <v>2</v>
      </c>
      <c r="AL144">
        <f t="shared" ca="1" si="25"/>
        <v>0</v>
      </c>
      <c r="AM144">
        <f t="shared" ca="1" si="26"/>
        <v>0</v>
      </c>
      <c r="AN144">
        <f t="shared" ca="1" si="27"/>
        <v>1</v>
      </c>
      <c r="AO144">
        <f t="shared" ca="1" si="28"/>
        <v>0</v>
      </c>
      <c r="AP144">
        <f t="shared" ca="1" si="29"/>
        <v>0</v>
      </c>
      <c r="AQ144">
        <f t="shared" ca="1" si="30"/>
        <v>0</v>
      </c>
      <c r="AR144">
        <f t="shared" ca="1" si="31"/>
        <v>0.5</v>
      </c>
      <c r="AS144">
        <f t="shared" si="32"/>
        <v>1</v>
      </c>
    </row>
    <row r="145" spans="1:45" x14ac:dyDescent="0.3">
      <c r="A145" s="1">
        <v>239</v>
      </c>
      <c r="C145" t="s">
        <v>348</v>
      </c>
      <c r="D145">
        <v>2017</v>
      </c>
      <c r="E145">
        <v>1</v>
      </c>
      <c r="F145">
        <v>3</v>
      </c>
      <c r="G145" t="s">
        <v>561</v>
      </c>
      <c r="H145" t="s">
        <v>640</v>
      </c>
      <c r="I145" t="s">
        <v>962</v>
      </c>
      <c r="J145" t="s">
        <v>1245</v>
      </c>
      <c r="K145" t="s">
        <v>1475</v>
      </c>
      <c r="L145" t="s">
        <v>1672</v>
      </c>
      <c r="M145" t="s">
        <v>1824</v>
      </c>
      <c r="Z145" s="23" t="s">
        <v>2168</v>
      </c>
      <c r="AA145" s="21" t="s">
        <v>2166</v>
      </c>
      <c r="AB145" s="23" t="s">
        <v>2168</v>
      </c>
      <c r="AI145">
        <f t="shared" si="22"/>
        <v>1</v>
      </c>
      <c r="AJ145">
        <f t="shared" si="23"/>
        <v>2</v>
      </c>
      <c r="AK145">
        <f t="shared" ca="1" si="24"/>
        <v>1</v>
      </c>
      <c r="AL145">
        <f t="shared" ca="1" si="25"/>
        <v>2</v>
      </c>
      <c r="AM145">
        <f t="shared" ca="1" si="26"/>
        <v>0</v>
      </c>
      <c r="AN145">
        <f t="shared" ca="1" si="27"/>
        <v>0</v>
      </c>
      <c r="AO145">
        <f t="shared" ca="1" si="28"/>
        <v>0</v>
      </c>
      <c r="AP145">
        <f t="shared" ca="1" si="29"/>
        <v>0</v>
      </c>
      <c r="AQ145">
        <f t="shared" ca="1" si="30"/>
        <v>1</v>
      </c>
      <c r="AR145">
        <f t="shared" ca="1" si="31"/>
        <v>0.33333333333333331</v>
      </c>
      <c r="AS145">
        <f t="shared" si="32"/>
        <v>1</v>
      </c>
    </row>
    <row r="146" spans="1:45" x14ac:dyDescent="0.3">
      <c r="A146" s="1">
        <v>240</v>
      </c>
      <c r="B146" s="2" t="s">
        <v>172</v>
      </c>
      <c r="C146" t="s">
        <v>349</v>
      </c>
      <c r="D146">
        <v>2018</v>
      </c>
      <c r="E146">
        <v>1</v>
      </c>
      <c r="F146">
        <v>2</v>
      </c>
      <c r="G146" t="s">
        <v>561</v>
      </c>
      <c r="H146" t="s">
        <v>686</v>
      </c>
      <c r="I146" t="s">
        <v>1008</v>
      </c>
      <c r="J146" t="s">
        <v>1280</v>
      </c>
      <c r="K146" t="s">
        <v>1507</v>
      </c>
      <c r="Z146" s="23" t="s">
        <v>2168</v>
      </c>
      <c r="AA146" s="21" t="s">
        <v>2166</v>
      </c>
      <c r="AI146">
        <f t="shared" si="22"/>
        <v>1</v>
      </c>
      <c r="AJ146">
        <f t="shared" si="23"/>
        <v>1</v>
      </c>
      <c r="AK146">
        <f t="shared" ca="1" si="24"/>
        <v>1</v>
      </c>
      <c r="AL146">
        <f t="shared" ca="1" si="25"/>
        <v>1</v>
      </c>
      <c r="AM146">
        <f t="shared" ca="1" si="26"/>
        <v>0</v>
      </c>
      <c r="AN146">
        <f t="shared" ca="1" si="27"/>
        <v>0</v>
      </c>
      <c r="AO146">
        <f t="shared" ca="1" si="28"/>
        <v>0</v>
      </c>
      <c r="AP146">
        <f t="shared" ca="1" si="29"/>
        <v>0</v>
      </c>
      <c r="AQ146">
        <f t="shared" ca="1" si="30"/>
        <v>1</v>
      </c>
      <c r="AR146">
        <f t="shared" ca="1" si="31"/>
        <v>0.5</v>
      </c>
      <c r="AS146">
        <f t="shared" si="32"/>
        <v>1</v>
      </c>
    </row>
    <row r="147" spans="1:45" x14ac:dyDescent="0.3">
      <c r="A147" s="1">
        <v>241</v>
      </c>
      <c r="C147" t="s">
        <v>350</v>
      </c>
      <c r="D147">
        <v>2019</v>
      </c>
      <c r="E147">
        <v>1</v>
      </c>
      <c r="F147">
        <v>2</v>
      </c>
      <c r="G147" t="s">
        <v>561</v>
      </c>
      <c r="H147" t="s">
        <v>687</v>
      </c>
      <c r="I147" t="s">
        <v>1009</v>
      </c>
      <c r="J147" t="s">
        <v>746</v>
      </c>
      <c r="K147" t="s">
        <v>1064</v>
      </c>
      <c r="Z147" s="22" t="s">
        <v>2167</v>
      </c>
      <c r="AA147" s="22" t="s">
        <v>2167</v>
      </c>
      <c r="AI147">
        <f t="shared" si="22"/>
        <v>0</v>
      </c>
      <c r="AJ147">
        <f t="shared" si="23"/>
        <v>0</v>
      </c>
      <c r="AK147">
        <f t="shared" ca="1" si="24"/>
        <v>0</v>
      </c>
      <c r="AL147">
        <f t="shared" ca="1" si="25"/>
        <v>0</v>
      </c>
      <c r="AM147">
        <f t="shared" ca="1" si="26"/>
        <v>2</v>
      </c>
      <c r="AN147">
        <f t="shared" ca="1" si="27"/>
        <v>0</v>
      </c>
      <c r="AO147">
        <f t="shared" ca="1" si="28"/>
        <v>0</v>
      </c>
      <c r="AP147">
        <f t="shared" ca="1" si="29"/>
        <v>1</v>
      </c>
      <c r="AQ147">
        <f t="shared" ca="1" si="30"/>
        <v>1</v>
      </c>
      <c r="AR147">
        <f t="shared" ca="1" si="31"/>
        <v>0</v>
      </c>
      <c r="AS147">
        <f t="shared" si="32"/>
        <v>1</v>
      </c>
    </row>
    <row r="148" spans="1:45" x14ac:dyDescent="0.3">
      <c r="A148" s="1">
        <v>242</v>
      </c>
      <c r="B148" s="2" t="s">
        <v>173</v>
      </c>
      <c r="C148" t="s">
        <v>351</v>
      </c>
      <c r="D148">
        <v>2019</v>
      </c>
      <c r="E148">
        <v>1</v>
      </c>
      <c r="F148">
        <v>2</v>
      </c>
      <c r="G148" t="s">
        <v>561</v>
      </c>
      <c r="H148" t="s">
        <v>688</v>
      </c>
      <c r="I148" t="s">
        <v>1010</v>
      </c>
      <c r="J148" t="s">
        <v>1281</v>
      </c>
      <c r="K148" t="s">
        <v>1508</v>
      </c>
      <c r="Z148" s="21" t="s">
        <v>2166</v>
      </c>
      <c r="AA148" s="22" t="s">
        <v>2167</v>
      </c>
      <c r="AI148">
        <f t="shared" si="22"/>
        <v>1</v>
      </c>
      <c r="AJ148">
        <f t="shared" si="23"/>
        <v>0</v>
      </c>
      <c r="AK148">
        <f t="shared" ca="1" si="24"/>
        <v>1</v>
      </c>
      <c r="AL148">
        <f t="shared" ca="1" si="25"/>
        <v>0</v>
      </c>
      <c r="AM148">
        <f t="shared" ca="1" si="26"/>
        <v>1</v>
      </c>
      <c r="AN148">
        <f t="shared" ca="1" si="27"/>
        <v>0</v>
      </c>
      <c r="AO148">
        <f t="shared" ca="1" si="28"/>
        <v>0</v>
      </c>
      <c r="AP148">
        <f t="shared" ca="1" si="29"/>
        <v>1</v>
      </c>
      <c r="AQ148">
        <f t="shared" ca="1" si="30"/>
        <v>1</v>
      </c>
      <c r="AR148">
        <f t="shared" ca="1" si="31"/>
        <v>0.5</v>
      </c>
      <c r="AS148">
        <f t="shared" si="32"/>
        <v>1</v>
      </c>
    </row>
    <row r="149" spans="1:45" x14ac:dyDescent="0.3">
      <c r="A149" s="1">
        <v>243</v>
      </c>
      <c r="B149" s="2" t="s">
        <v>174</v>
      </c>
      <c r="C149" t="s">
        <v>352</v>
      </c>
      <c r="D149">
        <v>2019</v>
      </c>
      <c r="E149">
        <v>1</v>
      </c>
      <c r="F149">
        <v>3</v>
      </c>
      <c r="G149" t="s">
        <v>561</v>
      </c>
      <c r="H149" t="s">
        <v>689</v>
      </c>
      <c r="I149" t="s">
        <v>1011</v>
      </c>
      <c r="J149" t="s">
        <v>1282</v>
      </c>
      <c r="K149" t="s">
        <v>1509</v>
      </c>
      <c r="L149" t="s">
        <v>1699</v>
      </c>
      <c r="M149" t="s">
        <v>1850</v>
      </c>
      <c r="Z149" s="21" t="s">
        <v>2166</v>
      </c>
      <c r="AA149" s="21" t="s">
        <v>2166</v>
      </c>
      <c r="AB149" s="21" t="s">
        <v>2166</v>
      </c>
      <c r="AI149">
        <f t="shared" si="22"/>
        <v>3</v>
      </c>
      <c r="AJ149">
        <f t="shared" si="23"/>
        <v>0</v>
      </c>
      <c r="AK149">
        <f t="shared" ca="1" si="24"/>
        <v>3</v>
      </c>
      <c r="AL149">
        <f t="shared" ca="1" si="25"/>
        <v>0</v>
      </c>
      <c r="AM149">
        <f t="shared" ca="1" si="26"/>
        <v>0</v>
      </c>
      <c r="AN149">
        <f t="shared" ca="1" si="27"/>
        <v>1</v>
      </c>
      <c r="AO149">
        <f t="shared" ca="1" si="28"/>
        <v>0</v>
      </c>
      <c r="AP149">
        <f t="shared" ca="1" si="29"/>
        <v>0</v>
      </c>
      <c r="AQ149">
        <f t="shared" ca="1" si="30"/>
        <v>0</v>
      </c>
      <c r="AR149">
        <f t="shared" ca="1" si="31"/>
        <v>0.22222222222222221</v>
      </c>
      <c r="AS149">
        <f t="shared" si="32"/>
        <v>1</v>
      </c>
    </row>
    <row r="150" spans="1:45" x14ac:dyDescent="0.3">
      <c r="A150" s="1">
        <v>244</v>
      </c>
      <c r="B150" s="2" t="s">
        <v>175</v>
      </c>
      <c r="C150" t="s">
        <v>353</v>
      </c>
      <c r="D150">
        <v>2020</v>
      </c>
      <c r="E150">
        <v>1</v>
      </c>
      <c r="F150">
        <v>1</v>
      </c>
      <c r="G150" t="s">
        <v>561</v>
      </c>
      <c r="H150" t="s">
        <v>690</v>
      </c>
      <c r="I150" t="s">
        <v>1012</v>
      </c>
      <c r="Z150" s="21" t="s">
        <v>2166</v>
      </c>
      <c r="AI150">
        <f t="shared" si="22"/>
        <v>1</v>
      </c>
      <c r="AJ150">
        <f t="shared" si="23"/>
        <v>0</v>
      </c>
      <c r="AK150">
        <f t="shared" ca="1" si="24"/>
        <v>1</v>
      </c>
      <c r="AL150">
        <f t="shared" ca="1" si="25"/>
        <v>0</v>
      </c>
      <c r="AM150">
        <f t="shared" ca="1" si="26"/>
        <v>0</v>
      </c>
      <c r="AN150">
        <f t="shared" ca="1" si="27"/>
        <v>1</v>
      </c>
      <c r="AO150">
        <f t="shared" ca="1" si="28"/>
        <v>0</v>
      </c>
      <c r="AP150">
        <f t="shared" ca="1" si="29"/>
        <v>0</v>
      </c>
      <c r="AQ150">
        <f t="shared" ca="1" si="30"/>
        <v>0</v>
      </c>
      <c r="AR150">
        <f t="shared" ca="1" si="31"/>
        <v>1</v>
      </c>
      <c r="AS150">
        <f t="shared" si="32"/>
        <v>1</v>
      </c>
    </row>
    <row r="151" spans="1:45" x14ac:dyDescent="0.3">
      <c r="A151" s="1">
        <v>245</v>
      </c>
      <c r="B151" s="2" t="s">
        <v>176</v>
      </c>
      <c r="C151" t="s">
        <v>354</v>
      </c>
      <c r="D151">
        <v>2020</v>
      </c>
      <c r="E151">
        <v>1</v>
      </c>
      <c r="F151">
        <v>3</v>
      </c>
      <c r="G151" t="s">
        <v>561</v>
      </c>
      <c r="H151" t="s">
        <v>691</v>
      </c>
      <c r="I151" t="s">
        <v>1013</v>
      </c>
      <c r="J151" t="s">
        <v>1283</v>
      </c>
      <c r="K151" t="s">
        <v>991</v>
      </c>
      <c r="L151" t="s">
        <v>1700</v>
      </c>
      <c r="M151" t="s">
        <v>1851</v>
      </c>
      <c r="Z151" s="21" t="s">
        <v>2166</v>
      </c>
      <c r="AA151" s="22" t="s">
        <v>2167</v>
      </c>
      <c r="AB151" s="21" t="s">
        <v>2166</v>
      </c>
      <c r="AI151">
        <f t="shared" si="22"/>
        <v>2</v>
      </c>
      <c r="AJ151">
        <f t="shared" si="23"/>
        <v>0</v>
      </c>
      <c r="AK151">
        <f t="shared" ca="1" si="24"/>
        <v>2</v>
      </c>
      <c r="AL151">
        <f t="shared" ca="1" si="25"/>
        <v>0</v>
      </c>
      <c r="AM151">
        <f t="shared" ca="1" si="26"/>
        <v>1</v>
      </c>
      <c r="AN151">
        <f t="shared" ca="1" si="27"/>
        <v>0</v>
      </c>
      <c r="AO151">
        <f t="shared" ca="1" si="28"/>
        <v>0</v>
      </c>
      <c r="AP151">
        <f t="shared" ca="1" si="29"/>
        <v>1</v>
      </c>
      <c r="AQ151">
        <f t="shared" ca="1" si="30"/>
        <v>1</v>
      </c>
      <c r="AR151">
        <f t="shared" ca="1" si="31"/>
        <v>0.22222222222222221</v>
      </c>
      <c r="AS151">
        <f t="shared" si="32"/>
        <v>1</v>
      </c>
    </row>
    <row r="152" spans="1:45" x14ac:dyDescent="0.3">
      <c r="A152" s="1">
        <v>246</v>
      </c>
      <c r="B152" s="2" t="s">
        <v>177</v>
      </c>
      <c r="C152" t="s">
        <v>355</v>
      </c>
      <c r="D152">
        <v>2020</v>
      </c>
      <c r="E152">
        <v>1</v>
      </c>
      <c r="F152">
        <v>1</v>
      </c>
      <c r="G152" t="s">
        <v>561</v>
      </c>
      <c r="H152" t="s">
        <v>570</v>
      </c>
      <c r="I152" t="s">
        <v>892</v>
      </c>
      <c r="Z152" s="23" t="s">
        <v>2168</v>
      </c>
      <c r="AI152">
        <f t="shared" si="22"/>
        <v>0</v>
      </c>
      <c r="AJ152">
        <f t="shared" si="23"/>
        <v>1</v>
      </c>
      <c r="AK152">
        <f t="shared" ca="1" si="24"/>
        <v>0</v>
      </c>
      <c r="AL152">
        <f t="shared" ca="1" si="25"/>
        <v>1</v>
      </c>
      <c r="AM152">
        <f t="shared" ca="1" si="26"/>
        <v>0</v>
      </c>
      <c r="AN152">
        <f t="shared" ca="1" si="27"/>
        <v>0</v>
      </c>
      <c r="AO152">
        <f t="shared" ca="1" si="28"/>
        <v>1</v>
      </c>
      <c r="AP152">
        <f t="shared" ca="1" si="29"/>
        <v>0</v>
      </c>
      <c r="AQ152">
        <f t="shared" ca="1" si="30"/>
        <v>0</v>
      </c>
      <c r="AR152">
        <f t="shared" ca="1" si="31"/>
        <v>0</v>
      </c>
      <c r="AS152">
        <f t="shared" si="32"/>
        <v>1</v>
      </c>
    </row>
    <row r="153" spans="1:45" x14ac:dyDescent="0.3">
      <c r="A153" s="1">
        <v>247</v>
      </c>
      <c r="B153" s="2" t="s">
        <v>178</v>
      </c>
      <c r="C153" t="s">
        <v>356</v>
      </c>
      <c r="D153">
        <v>2020</v>
      </c>
      <c r="E153">
        <v>1</v>
      </c>
      <c r="F153">
        <v>1</v>
      </c>
      <c r="G153" t="s">
        <v>561</v>
      </c>
      <c r="H153" t="s">
        <v>601</v>
      </c>
      <c r="I153" t="s">
        <v>923</v>
      </c>
      <c r="Z153" s="21" t="s">
        <v>2166</v>
      </c>
      <c r="AI153">
        <f t="shared" si="22"/>
        <v>1</v>
      </c>
      <c r="AJ153">
        <f t="shared" si="23"/>
        <v>0</v>
      </c>
      <c r="AK153">
        <f t="shared" ca="1" si="24"/>
        <v>1</v>
      </c>
      <c r="AL153">
        <f t="shared" ca="1" si="25"/>
        <v>0</v>
      </c>
      <c r="AM153">
        <f t="shared" ca="1" si="26"/>
        <v>0</v>
      </c>
      <c r="AN153">
        <f t="shared" ca="1" si="27"/>
        <v>1</v>
      </c>
      <c r="AO153">
        <f t="shared" ca="1" si="28"/>
        <v>0</v>
      </c>
      <c r="AP153">
        <f t="shared" ca="1" si="29"/>
        <v>0</v>
      </c>
      <c r="AQ153">
        <f t="shared" ca="1" si="30"/>
        <v>0</v>
      </c>
      <c r="AR153">
        <f t="shared" ca="1" si="31"/>
        <v>1</v>
      </c>
      <c r="AS153">
        <f t="shared" si="32"/>
        <v>1</v>
      </c>
    </row>
    <row r="154" spans="1:45" x14ac:dyDescent="0.3">
      <c r="A154" s="1">
        <v>248</v>
      </c>
      <c r="B154" s="2" t="s">
        <v>179</v>
      </c>
      <c r="C154" t="s">
        <v>357</v>
      </c>
      <c r="D154">
        <v>2021</v>
      </c>
      <c r="E154">
        <v>1</v>
      </c>
      <c r="F154">
        <v>3</v>
      </c>
      <c r="G154" t="s">
        <v>561</v>
      </c>
      <c r="H154" t="s">
        <v>692</v>
      </c>
      <c r="I154" t="s">
        <v>1014</v>
      </c>
      <c r="J154" t="s">
        <v>1284</v>
      </c>
      <c r="K154" t="s">
        <v>1510</v>
      </c>
      <c r="L154" t="s">
        <v>1701</v>
      </c>
      <c r="M154" t="s">
        <v>1852</v>
      </c>
      <c r="Z154" s="21" t="s">
        <v>2166</v>
      </c>
      <c r="AA154" s="21" t="s">
        <v>2166</v>
      </c>
      <c r="AB154" s="22" t="s">
        <v>2167</v>
      </c>
      <c r="AI154">
        <f t="shared" si="22"/>
        <v>2</v>
      </c>
      <c r="AJ154">
        <f t="shared" si="23"/>
        <v>0</v>
      </c>
      <c r="AK154">
        <f t="shared" ca="1" si="24"/>
        <v>2</v>
      </c>
      <c r="AL154">
        <f t="shared" ca="1" si="25"/>
        <v>0</v>
      </c>
      <c r="AM154">
        <f t="shared" ca="1" si="26"/>
        <v>1</v>
      </c>
      <c r="AN154">
        <f t="shared" ca="1" si="27"/>
        <v>0</v>
      </c>
      <c r="AO154">
        <f t="shared" ca="1" si="28"/>
        <v>0</v>
      </c>
      <c r="AP154">
        <f t="shared" ca="1" si="29"/>
        <v>1</v>
      </c>
      <c r="AQ154">
        <f t="shared" ca="1" si="30"/>
        <v>1</v>
      </c>
      <c r="AR154">
        <f t="shared" ca="1" si="31"/>
        <v>0.22222222222222221</v>
      </c>
      <c r="AS154">
        <f t="shared" si="32"/>
        <v>1</v>
      </c>
    </row>
    <row r="155" spans="1:45" x14ac:dyDescent="0.3">
      <c r="A155" s="1">
        <v>249</v>
      </c>
      <c r="C155" t="s">
        <v>341</v>
      </c>
      <c r="D155">
        <v>2017</v>
      </c>
      <c r="E155">
        <v>1</v>
      </c>
      <c r="F155">
        <v>3</v>
      </c>
      <c r="G155" t="s">
        <v>561</v>
      </c>
      <c r="H155" t="s">
        <v>693</v>
      </c>
      <c r="I155" t="s">
        <v>1015</v>
      </c>
      <c r="J155" t="s">
        <v>1285</v>
      </c>
      <c r="K155" t="s">
        <v>1511</v>
      </c>
      <c r="L155" t="s">
        <v>1702</v>
      </c>
      <c r="M155" t="s">
        <v>1002</v>
      </c>
      <c r="Z155" s="21" t="s">
        <v>2166</v>
      </c>
      <c r="AA155" s="21" t="s">
        <v>2166</v>
      </c>
      <c r="AB155" s="23" t="s">
        <v>2168</v>
      </c>
      <c r="AI155">
        <f t="shared" si="22"/>
        <v>2</v>
      </c>
      <c r="AJ155">
        <f t="shared" si="23"/>
        <v>1</v>
      </c>
      <c r="AK155">
        <f t="shared" ca="1" si="24"/>
        <v>2</v>
      </c>
      <c r="AL155">
        <f t="shared" ca="1" si="25"/>
        <v>1</v>
      </c>
      <c r="AM155">
        <f t="shared" ca="1" si="26"/>
        <v>0</v>
      </c>
      <c r="AN155">
        <f t="shared" ca="1" si="27"/>
        <v>0</v>
      </c>
      <c r="AO155">
        <f t="shared" ca="1" si="28"/>
        <v>0</v>
      </c>
      <c r="AP155">
        <f t="shared" ca="1" si="29"/>
        <v>0</v>
      </c>
      <c r="AQ155">
        <f t="shared" ca="1" si="30"/>
        <v>1</v>
      </c>
      <c r="AR155">
        <f t="shared" ca="1" si="31"/>
        <v>0.22222222222222221</v>
      </c>
      <c r="AS155">
        <f t="shared" si="32"/>
        <v>1</v>
      </c>
    </row>
    <row r="156" spans="1:45" x14ac:dyDescent="0.3">
      <c r="A156" s="1">
        <v>250</v>
      </c>
      <c r="B156" s="2" t="s">
        <v>180</v>
      </c>
      <c r="C156" t="s">
        <v>358</v>
      </c>
      <c r="D156">
        <v>2021</v>
      </c>
      <c r="E156">
        <v>1</v>
      </c>
      <c r="F156">
        <v>5</v>
      </c>
      <c r="G156" t="s">
        <v>561</v>
      </c>
      <c r="H156" t="s">
        <v>694</v>
      </c>
      <c r="I156" t="s">
        <v>1016</v>
      </c>
      <c r="J156" t="s">
        <v>1286</v>
      </c>
      <c r="K156" t="s">
        <v>1512</v>
      </c>
      <c r="L156" t="s">
        <v>1703</v>
      </c>
      <c r="M156" t="s">
        <v>1853</v>
      </c>
      <c r="N156" t="s">
        <v>1957</v>
      </c>
      <c r="O156" t="s">
        <v>2017</v>
      </c>
      <c r="P156" t="s">
        <v>2064</v>
      </c>
      <c r="Q156" t="s">
        <v>2089</v>
      </c>
      <c r="Z156" s="21" t="s">
        <v>2166</v>
      </c>
      <c r="AA156" s="21" t="s">
        <v>2166</v>
      </c>
      <c r="AB156" s="21" t="s">
        <v>2166</v>
      </c>
      <c r="AC156" s="21" t="s">
        <v>2166</v>
      </c>
      <c r="AD156" s="21" t="s">
        <v>2166</v>
      </c>
      <c r="AI156">
        <f t="shared" si="22"/>
        <v>5</v>
      </c>
      <c r="AJ156">
        <f t="shared" si="23"/>
        <v>0</v>
      </c>
      <c r="AK156">
        <f t="shared" ca="1" si="24"/>
        <v>5</v>
      </c>
      <c r="AL156">
        <f t="shared" ca="1" si="25"/>
        <v>0</v>
      </c>
      <c r="AM156">
        <f t="shared" ca="1" si="26"/>
        <v>0</v>
      </c>
      <c r="AN156">
        <f t="shared" ca="1" si="27"/>
        <v>1</v>
      </c>
      <c r="AO156">
        <f t="shared" ca="1" si="28"/>
        <v>0</v>
      </c>
      <c r="AP156">
        <f t="shared" ca="1" si="29"/>
        <v>0</v>
      </c>
      <c r="AQ156">
        <f t="shared" ca="1" si="30"/>
        <v>0</v>
      </c>
      <c r="AR156">
        <f t="shared" ca="1" si="31"/>
        <v>3.8400000000000011E-2</v>
      </c>
      <c r="AS156">
        <f t="shared" si="32"/>
        <v>1</v>
      </c>
    </row>
    <row r="157" spans="1:45" x14ac:dyDescent="0.3">
      <c r="A157" s="1">
        <v>251</v>
      </c>
      <c r="B157" s="2" t="s">
        <v>181</v>
      </c>
      <c r="C157" t="s">
        <v>359</v>
      </c>
      <c r="D157">
        <v>2021</v>
      </c>
      <c r="E157">
        <v>1</v>
      </c>
      <c r="F157">
        <v>3</v>
      </c>
      <c r="G157" t="s">
        <v>561</v>
      </c>
      <c r="H157" t="s">
        <v>695</v>
      </c>
      <c r="I157" t="s">
        <v>1017</v>
      </c>
      <c r="J157" t="s">
        <v>1287</v>
      </c>
      <c r="K157" t="s">
        <v>1513</v>
      </c>
      <c r="L157" t="s">
        <v>1704</v>
      </c>
      <c r="M157" t="s">
        <v>1854</v>
      </c>
      <c r="Z157" s="21" t="s">
        <v>2166</v>
      </c>
      <c r="AA157" s="21" t="s">
        <v>2166</v>
      </c>
      <c r="AB157" s="23" t="s">
        <v>2168</v>
      </c>
      <c r="AI157">
        <f t="shared" si="22"/>
        <v>2</v>
      </c>
      <c r="AJ157">
        <f t="shared" si="23"/>
        <v>1</v>
      </c>
      <c r="AK157">
        <f t="shared" ca="1" si="24"/>
        <v>2</v>
      </c>
      <c r="AL157">
        <f t="shared" ca="1" si="25"/>
        <v>1</v>
      </c>
      <c r="AM157">
        <f t="shared" ca="1" si="26"/>
        <v>0</v>
      </c>
      <c r="AN157">
        <f t="shared" ca="1" si="27"/>
        <v>0</v>
      </c>
      <c r="AO157">
        <f t="shared" ca="1" si="28"/>
        <v>0</v>
      </c>
      <c r="AP157">
        <f t="shared" ca="1" si="29"/>
        <v>0</v>
      </c>
      <c r="AQ157">
        <f t="shared" ca="1" si="30"/>
        <v>1</v>
      </c>
      <c r="AR157">
        <f t="shared" ca="1" si="31"/>
        <v>0.22222222222222221</v>
      </c>
      <c r="AS157">
        <f t="shared" si="32"/>
        <v>1</v>
      </c>
    </row>
    <row r="158" spans="1:45" x14ac:dyDescent="0.3">
      <c r="A158" s="1">
        <v>252</v>
      </c>
      <c r="B158" s="2" t="s">
        <v>182</v>
      </c>
      <c r="C158" t="s">
        <v>360</v>
      </c>
      <c r="D158">
        <v>2021</v>
      </c>
      <c r="E158">
        <v>1</v>
      </c>
      <c r="F158">
        <v>3</v>
      </c>
      <c r="G158" t="s">
        <v>561</v>
      </c>
      <c r="H158" t="s">
        <v>696</v>
      </c>
      <c r="I158" t="s">
        <v>1018</v>
      </c>
      <c r="J158" t="s">
        <v>1288</v>
      </c>
      <c r="K158" t="s">
        <v>1514</v>
      </c>
      <c r="L158" t="s">
        <v>652</v>
      </c>
      <c r="M158" t="s">
        <v>974</v>
      </c>
      <c r="Z158" s="23" t="s">
        <v>2168</v>
      </c>
      <c r="AA158" s="23" t="s">
        <v>2168</v>
      </c>
      <c r="AB158" s="23" t="s">
        <v>2168</v>
      </c>
      <c r="AI158">
        <f t="shared" si="22"/>
        <v>0</v>
      </c>
      <c r="AJ158">
        <f t="shared" si="23"/>
        <v>3</v>
      </c>
      <c r="AK158">
        <f t="shared" ca="1" si="24"/>
        <v>0</v>
      </c>
      <c r="AL158">
        <f t="shared" ca="1" si="25"/>
        <v>3</v>
      </c>
      <c r="AM158">
        <f t="shared" ca="1" si="26"/>
        <v>0</v>
      </c>
      <c r="AN158">
        <f t="shared" ca="1" si="27"/>
        <v>0</v>
      </c>
      <c r="AO158">
        <f t="shared" ca="1" si="28"/>
        <v>1</v>
      </c>
      <c r="AP158">
        <f t="shared" ca="1" si="29"/>
        <v>0</v>
      </c>
      <c r="AQ158">
        <f t="shared" ca="1" si="30"/>
        <v>0</v>
      </c>
      <c r="AR158">
        <f t="shared" ca="1" si="31"/>
        <v>0</v>
      </c>
      <c r="AS158">
        <f t="shared" si="32"/>
        <v>1</v>
      </c>
    </row>
    <row r="159" spans="1:45" x14ac:dyDescent="0.3">
      <c r="A159" s="1">
        <v>253</v>
      </c>
      <c r="B159" s="2" t="s">
        <v>183</v>
      </c>
      <c r="C159" t="s">
        <v>361</v>
      </c>
      <c r="D159">
        <v>2021</v>
      </c>
      <c r="E159">
        <v>1</v>
      </c>
      <c r="F159">
        <v>4</v>
      </c>
      <c r="G159" t="s">
        <v>561</v>
      </c>
      <c r="H159" t="s">
        <v>697</v>
      </c>
      <c r="I159" t="s">
        <v>1019</v>
      </c>
      <c r="J159" t="s">
        <v>1289</v>
      </c>
      <c r="K159" t="s">
        <v>1515</v>
      </c>
      <c r="L159" t="s">
        <v>1705</v>
      </c>
      <c r="M159" t="s">
        <v>1855</v>
      </c>
      <c r="N159" t="s">
        <v>1958</v>
      </c>
      <c r="O159" t="s">
        <v>2018</v>
      </c>
      <c r="Z159" s="21" t="s">
        <v>2166</v>
      </c>
      <c r="AA159" s="23" t="s">
        <v>2168</v>
      </c>
      <c r="AB159" s="21" t="s">
        <v>2166</v>
      </c>
      <c r="AC159" s="23" t="s">
        <v>2168</v>
      </c>
      <c r="AI159">
        <f t="shared" si="22"/>
        <v>2</v>
      </c>
      <c r="AJ159">
        <f t="shared" si="23"/>
        <v>2</v>
      </c>
      <c r="AK159">
        <f t="shared" ca="1" si="24"/>
        <v>2</v>
      </c>
      <c r="AL159">
        <f t="shared" ca="1" si="25"/>
        <v>2</v>
      </c>
      <c r="AM159">
        <f t="shared" ca="1" si="26"/>
        <v>0</v>
      </c>
      <c r="AN159">
        <f t="shared" ca="1" si="27"/>
        <v>0</v>
      </c>
      <c r="AO159">
        <f t="shared" ca="1" si="28"/>
        <v>0</v>
      </c>
      <c r="AP159">
        <f t="shared" ca="1" si="29"/>
        <v>0</v>
      </c>
      <c r="AQ159">
        <f t="shared" ca="1" si="30"/>
        <v>1</v>
      </c>
      <c r="AR159">
        <f t="shared" ca="1" si="31"/>
        <v>0.125</v>
      </c>
      <c r="AS159">
        <f t="shared" si="32"/>
        <v>1</v>
      </c>
    </row>
    <row r="160" spans="1:45" x14ac:dyDescent="0.3">
      <c r="A160" s="1">
        <v>254</v>
      </c>
      <c r="B160" s="2" t="s">
        <v>184</v>
      </c>
      <c r="C160" t="s">
        <v>362</v>
      </c>
      <c r="D160">
        <v>2021</v>
      </c>
      <c r="E160">
        <v>1</v>
      </c>
      <c r="F160">
        <v>3</v>
      </c>
      <c r="G160" t="s">
        <v>561</v>
      </c>
      <c r="H160" t="s">
        <v>698</v>
      </c>
      <c r="I160" t="s">
        <v>1020</v>
      </c>
      <c r="J160" t="s">
        <v>1290</v>
      </c>
      <c r="K160" t="s">
        <v>1516</v>
      </c>
      <c r="L160" t="s">
        <v>1706</v>
      </c>
      <c r="M160" t="s">
        <v>1856</v>
      </c>
      <c r="Z160" s="21" t="s">
        <v>2166</v>
      </c>
      <c r="AA160" s="23" t="s">
        <v>2168</v>
      </c>
      <c r="AB160" s="21" t="s">
        <v>2166</v>
      </c>
      <c r="AI160">
        <f t="shared" si="22"/>
        <v>2</v>
      </c>
      <c r="AJ160">
        <f t="shared" si="23"/>
        <v>1</v>
      </c>
      <c r="AK160">
        <f t="shared" ca="1" si="24"/>
        <v>2</v>
      </c>
      <c r="AL160">
        <f t="shared" ca="1" si="25"/>
        <v>1</v>
      </c>
      <c r="AM160">
        <f t="shared" ca="1" si="26"/>
        <v>0</v>
      </c>
      <c r="AN160">
        <f t="shared" ca="1" si="27"/>
        <v>0</v>
      </c>
      <c r="AO160">
        <f t="shared" ca="1" si="28"/>
        <v>0</v>
      </c>
      <c r="AP160">
        <f t="shared" ca="1" si="29"/>
        <v>0</v>
      </c>
      <c r="AQ160">
        <f t="shared" ca="1" si="30"/>
        <v>1</v>
      </c>
      <c r="AR160">
        <f t="shared" ca="1" si="31"/>
        <v>0.22222222222222221</v>
      </c>
      <c r="AS160">
        <f t="shared" si="32"/>
        <v>1</v>
      </c>
    </row>
    <row r="161" spans="1:45" x14ac:dyDescent="0.3">
      <c r="A161" s="1">
        <v>255</v>
      </c>
      <c r="B161" s="2" t="s">
        <v>185</v>
      </c>
      <c r="C161" t="s">
        <v>363</v>
      </c>
      <c r="D161">
        <v>2021</v>
      </c>
      <c r="E161">
        <v>1</v>
      </c>
      <c r="F161">
        <v>2</v>
      </c>
      <c r="G161" t="s">
        <v>561</v>
      </c>
      <c r="H161" t="s">
        <v>699</v>
      </c>
      <c r="I161" t="s">
        <v>1021</v>
      </c>
      <c r="J161" t="s">
        <v>1291</v>
      </c>
      <c r="K161" t="s">
        <v>1517</v>
      </c>
      <c r="Z161" s="21" t="s">
        <v>2166</v>
      </c>
      <c r="AA161" s="22" t="s">
        <v>2167</v>
      </c>
      <c r="AI161">
        <f t="shared" si="22"/>
        <v>1</v>
      </c>
      <c r="AJ161">
        <f t="shared" si="23"/>
        <v>0</v>
      </c>
      <c r="AK161">
        <f t="shared" ca="1" si="24"/>
        <v>1</v>
      </c>
      <c r="AL161">
        <f t="shared" ca="1" si="25"/>
        <v>0</v>
      </c>
      <c r="AM161">
        <f t="shared" ca="1" si="26"/>
        <v>1</v>
      </c>
      <c r="AN161">
        <f t="shared" ca="1" si="27"/>
        <v>0</v>
      </c>
      <c r="AO161">
        <f t="shared" ca="1" si="28"/>
        <v>0</v>
      </c>
      <c r="AP161">
        <f t="shared" ca="1" si="29"/>
        <v>1</v>
      </c>
      <c r="AQ161">
        <f t="shared" ca="1" si="30"/>
        <v>1</v>
      </c>
      <c r="AR161">
        <f t="shared" ca="1" si="31"/>
        <v>0.5</v>
      </c>
      <c r="AS161">
        <f t="shared" si="32"/>
        <v>1</v>
      </c>
    </row>
    <row r="162" spans="1:45" x14ac:dyDescent="0.3">
      <c r="A162" s="1">
        <v>256</v>
      </c>
      <c r="B162" s="2" t="s">
        <v>186</v>
      </c>
      <c r="C162" t="s">
        <v>364</v>
      </c>
      <c r="D162">
        <v>2021</v>
      </c>
      <c r="E162">
        <v>1</v>
      </c>
      <c r="F162">
        <v>5</v>
      </c>
      <c r="G162" t="s">
        <v>561</v>
      </c>
      <c r="H162" t="s">
        <v>666</v>
      </c>
      <c r="I162" t="s">
        <v>988</v>
      </c>
      <c r="J162" t="s">
        <v>1292</v>
      </c>
      <c r="K162" t="s">
        <v>1518</v>
      </c>
      <c r="L162" t="s">
        <v>1707</v>
      </c>
      <c r="M162" t="s">
        <v>1857</v>
      </c>
      <c r="N162" t="s">
        <v>645</v>
      </c>
      <c r="O162" t="s">
        <v>967</v>
      </c>
      <c r="P162" t="s">
        <v>2065</v>
      </c>
      <c r="Q162" t="s">
        <v>2090</v>
      </c>
      <c r="Z162" s="23" t="s">
        <v>2168</v>
      </c>
      <c r="AA162" s="21" t="s">
        <v>2166</v>
      </c>
      <c r="AB162" s="23" t="s">
        <v>2168</v>
      </c>
      <c r="AC162" s="21" t="s">
        <v>2166</v>
      </c>
      <c r="AD162" s="23" t="s">
        <v>2168</v>
      </c>
      <c r="AI162">
        <f t="shared" si="22"/>
        <v>2</v>
      </c>
      <c r="AJ162">
        <f t="shared" si="23"/>
        <v>3</v>
      </c>
      <c r="AK162">
        <f t="shared" ca="1" si="24"/>
        <v>2</v>
      </c>
      <c r="AL162">
        <f t="shared" ca="1" si="25"/>
        <v>3</v>
      </c>
      <c r="AM162">
        <f t="shared" ca="1" si="26"/>
        <v>0</v>
      </c>
      <c r="AN162">
        <f t="shared" ca="1" si="27"/>
        <v>0</v>
      </c>
      <c r="AO162">
        <f t="shared" ca="1" si="28"/>
        <v>0</v>
      </c>
      <c r="AP162">
        <f t="shared" ca="1" si="29"/>
        <v>0</v>
      </c>
      <c r="AQ162">
        <f t="shared" ca="1" si="30"/>
        <v>1</v>
      </c>
      <c r="AR162">
        <f t="shared" ca="1" si="31"/>
        <v>8.0000000000000016E-2</v>
      </c>
      <c r="AS162">
        <f t="shared" si="32"/>
        <v>1</v>
      </c>
    </row>
    <row r="163" spans="1:45" x14ac:dyDescent="0.3">
      <c r="A163" s="1">
        <v>257</v>
      </c>
      <c r="B163" s="2" t="s">
        <v>187</v>
      </c>
      <c r="C163" t="s">
        <v>365</v>
      </c>
      <c r="D163">
        <v>2021</v>
      </c>
      <c r="E163">
        <v>1</v>
      </c>
      <c r="F163">
        <v>4</v>
      </c>
      <c r="G163" t="s">
        <v>561</v>
      </c>
      <c r="H163" t="s">
        <v>700</v>
      </c>
      <c r="I163" t="s">
        <v>1022</v>
      </c>
      <c r="J163" t="s">
        <v>1293</v>
      </c>
      <c r="K163" t="s">
        <v>1519</v>
      </c>
      <c r="L163" t="s">
        <v>1708</v>
      </c>
      <c r="M163" t="s">
        <v>1858</v>
      </c>
      <c r="N163" t="s">
        <v>1959</v>
      </c>
      <c r="O163" t="s">
        <v>2019</v>
      </c>
      <c r="Z163" s="22" t="s">
        <v>2167</v>
      </c>
      <c r="AA163" s="23" t="s">
        <v>2168</v>
      </c>
      <c r="AB163" s="23" t="s">
        <v>2168</v>
      </c>
      <c r="AC163" s="21" t="s">
        <v>2166</v>
      </c>
      <c r="AI163">
        <f t="shared" si="22"/>
        <v>1</v>
      </c>
      <c r="AJ163">
        <f t="shared" si="23"/>
        <v>2</v>
      </c>
      <c r="AK163">
        <f t="shared" ca="1" si="24"/>
        <v>1</v>
      </c>
      <c r="AL163">
        <f t="shared" ca="1" si="25"/>
        <v>2</v>
      </c>
      <c r="AM163">
        <f t="shared" ca="1" si="26"/>
        <v>1</v>
      </c>
      <c r="AN163">
        <f t="shared" ca="1" si="27"/>
        <v>0</v>
      </c>
      <c r="AO163">
        <f t="shared" ca="1" si="28"/>
        <v>0</v>
      </c>
      <c r="AP163">
        <f t="shared" ca="1" si="29"/>
        <v>1</v>
      </c>
      <c r="AQ163">
        <f t="shared" ca="1" si="30"/>
        <v>1</v>
      </c>
      <c r="AR163">
        <f t="shared" ca="1" si="31"/>
        <v>0.25</v>
      </c>
      <c r="AS163">
        <f t="shared" si="32"/>
        <v>1</v>
      </c>
    </row>
    <row r="164" spans="1:45" x14ac:dyDescent="0.3">
      <c r="A164" s="1">
        <v>258</v>
      </c>
      <c r="C164" t="s">
        <v>366</v>
      </c>
      <c r="D164">
        <v>2015</v>
      </c>
      <c r="E164">
        <v>1</v>
      </c>
      <c r="F164">
        <v>1</v>
      </c>
      <c r="G164" t="s">
        <v>561</v>
      </c>
      <c r="H164" t="s">
        <v>701</v>
      </c>
      <c r="I164" t="s">
        <v>890</v>
      </c>
      <c r="Z164" s="23" t="s">
        <v>2168</v>
      </c>
      <c r="AI164">
        <f t="shared" si="22"/>
        <v>0</v>
      </c>
      <c r="AJ164">
        <f t="shared" si="23"/>
        <v>1</v>
      </c>
      <c r="AK164">
        <f t="shared" ca="1" si="24"/>
        <v>0</v>
      </c>
      <c r="AL164">
        <f t="shared" ca="1" si="25"/>
        <v>1</v>
      </c>
      <c r="AM164">
        <f t="shared" ca="1" si="26"/>
        <v>0</v>
      </c>
      <c r="AN164">
        <f t="shared" ca="1" si="27"/>
        <v>0</v>
      </c>
      <c r="AO164">
        <f t="shared" ca="1" si="28"/>
        <v>1</v>
      </c>
      <c r="AP164">
        <f t="shared" ca="1" si="29"/>
        <v>0</v>
      </c>
      <c r="AQ164">
        <f t="shared" ca="1" si="30"/>
        <v>0</v>
      </c>
      <c r="AR164">
        <f t="shared" ca="1" si="31"/>
        <v>0</v>
      </c>
      <c r="AS164">
        <f t="shared" si="32"/>
        <v>1</v>
      </c>
    </row>
    <row r="165" spans="1:45" x14ac:dyDescent="0.3">
      <c r="A165" s="1">
        <v>264</v>
      </c>
      <c r="C165" t="s">
        <v>327</v>
      </c>
      <c r="D165">
        <v>2017</v>
      </c>
      <c r="E165">
        <v>1</v>
      </c>
      <c r="F165">
        <v>3</v>
      </c>
      <c r="G165" t="s">
        <v>561</v>
      </c>
      <c r="H165" t="s">
        <v>668</v>
      </c>
      <c r="I165" t="s">
        <v>990</v>
      </c>
      <c r="J165" t="s">
        <v>1229</v>
      </c>
      <c r="K165" t="s">
        <v>1460</v>
      </c>
      <c r="L165" t="s">
        <v>1688</v>
      </c>
      <c r="M165" t="s">
        <v>1840</v>
      </c>
      <c r="Z165" s="22" t="s">
        <v>2167</v>
      </c>
      <c r="AA165" s="21" t="s">
        <v>2166</v>
      </c>
      <c r="AB165" s="21" t="s">
        <v>2166</v>
      </c>
      <c r="AI165">
        <f t="shared" si="22"/>
        <v>2</v>
      </c>
      <c r="AJ165">
        <f t="shared" si="23"/>
        <v>0</v>
      </c>
      <c r="AK165">
        <f t="shared" ca="1" si="24"/>
        <v>2</v>
      </c>
      <c r="AL165">
        <f t="shared" ca="1" si="25"/>
        <v>0</v>
      </c>
      <c r="AM165">
        <f t="shared" ca="1" si="26"/>
        <v>1</v>
      </c>
      <c r="AN165">
        <f t="shared" ca="1" si="27"/>
        <v>0</v>
      </c>
      <c r="AO165">
        <f t="shared" ca="1" si="28"/>
        <v>0</v>
      </c>
      <c r="AP165">
        <f t="shared" ca="1" si="29"/>
        <v>1</v>
      </c>
      <c r="AQ165">
        <f t="shared" ca="1" si="30"/>
        <v>1</v>
      </c>
      <c r="AR165">
        <f t="shared" ca="1" si="31"/>
        <v>0.22222222222222221</v>
      </c>
      <c r="AS165">
        <f t="shared" si="32"/>
        <v>1</v>
      </c>
    </row>
    <row r="166" spans="1:45" x14ac:dyDescent="0.3">
      <c r="A166" s="1">
        <v>271</v>
      </c>
      <c r="B166" s="2" t="s">
        <v>188</v>
      </c>
      <c r="C166" t="s">
        <v>367</v>
      </c>
      <c r="D166">
        <v>2015</v>
      </c>
      <c r="E166">
        <v>0</v>
      </c>
      <c r="F166">
        <v>3</v>
      </c>
      <c r="G166" t="s">
        <v>561</v>
      </c>
      <c r="H166" t="s">
        <v>702</v>
      </c>
      <c r="I166" t="s">
        <v>1023</v>
      </c>
      <c r="J166" t="s">
        <v>1294</v>
      </c>
      <c r="K166" t="s">
        <v>1520</v>
      </c>
      <c r="L166" t="s">
        <v>1709</v>
      </c>
      <c r="M166" t="s">
        <v>1859</v>
      </c>
      <c r="Z166" s="23" t="s">
        <v>2168</v>
      </c>
      <c r="AA166" s="22" t="s">
        <v>2167</v>
      </c>
      <c r="AB166" s="23" t="s">
        <v>2168</v>
      </c>
      <c r="AI166">
        <f t="shared" si="22"/>
        <v>0</v>
      </c>
      <c r="AJ166">
        <f t="shared" si="23"/>
        <v>2</v>
      </c>
      <c r="AK166">
        <f t="shared" ca="1" si="24"/>
        <v>0</v>
      </c>
      <c r="AL166">
        <f t="shared" ca="1" si="25"/>
        <v>2</v>
      </c>
      <c r="AM166">
        <f t="shared" ca="1" si="26"/>
        <v>1</v>
      </c>
      <c r="AN166">
        <f t="shared" ca="1" si="27"/>
        <v>0</v>
      </c>
      <c r="AO166">
        <f t="shared" ca="1" si="28"/>
        <v>0</v>
      </c>
      <c r="AP166">
        <f t="shared" ca="1" si="29"/>
        <v>1</v>
      </c>
      <c r="AQ166">
        <f t="shared" ca="1" si="30"/>
        <v>1</v>
      </c>
      <c r="AR166">
        <f t="shared" ca="1" si="31"/>
        <v>0</v>
      </c>
      <c r="AS166">
        <v>0</v>
      </c>
    </row>
    <row r="167" spans="1:45" x14ac:dyDescent="0.3">
      <c r="A167" s="1">
        <v>274</v>
      </c>
      <c r="C167" t="s">
        <v>368</v>
      </c>
      <c r="D167">
        <v>2015</v>
      </c>
      <c r="E167">
        <v>0</v>
      </c>
      <c r="F167">
        <v>1</v>
      </c>
      <c r="G167" t="s">
        <v>561</v>
      </c>
      <c r="H167" t="s">
        <v>703</v>
      </c>
      <c r="I167" t="s">
        <v>1024</v>
      </c>
      <c r="Z167" s="23" t="s">
        <v>2168</v>
      </c>
      <c r="AI167">
        <f t="shared" si="22"/>
        <v>0</v>
      </c>
      <c r="AJ167">
        <f t="shared" si="23"/>
        <v>1</v>
      </c>
      <c r="AK167">
        <f t="shared" ca="1" si="24"/>
        <v>0</v>
      </c>
      <c r="AL167">
        <f t="shared" ca="1" si="25"/>
        <v>1</v>
      </c>
      <c r="AM167">
        <f t="shared" ca="1" si="26"/>
        <v>0</v>
      </c>
      <c r="AN167">
        <f t="shared" ca="1" si="27"/>
        <v>0</v>
      </c>
      <c r="AO167">
        <f t="shared" ca="1" si="28"/>
        <v>1</v>
      </c>
      <c r="AP167">
        <f t="shared" ca="1" si="29"/>
        <v>0</v>
      </c>
      <c r="AQ167">
        <f t="shared" ca="1" si="30"/>
        <v>0</v>
      </c>
      <c r="AR167">
        <f t="shared" ca="1" si="31"/>
        <v>0</v>
      </c>
      <c r="AS167">
        <v>0</v>
      </c>
    </row>
    <row r="168" spans="1:45" x14ac:dyDescent="0.3">
      <c r="A168" s="1">
        <v>275</v>
      </c>
      <c r="C168" t="s">
        <v>369</v>
      </c>
      <c r="D168">
        <v>2015</v>
      </c>
      <c r="E168">
        <v>0</v>
      </c>
      <c r="F168">
        <v>2</v>
      </c>
      <c r="G168" t="s">
        <v>561</v>
      </c>
      <c r="H168" t="s">
        <v>704</v>
      </c>
      <c r="I168" t="s">
        <v>1025</v>
      </c>
      <c r="J168" t="s">
        <v>1295</v>
      </c>
      <c r="K168" t="s">
        <v>1521</v>
      </c>
      <c r="Z168" s="22" t="s">
        <v>2167</v>
      </c>
      <c r="AA168" s="22" t="s">
        <v>2167</v>
      </c>
      <c r="AI168">
        <f t="shared" si="22"/>
        <v>0</v>
      </c>
      <c r="AJ168">
        <f t="shared" si="23"/>
        <v>0</v>
      </c>
      <c r="AK168">
        <f t="shared" ca="1" si="24"/>
        <v>0</v>
      </c>
      <c r="AL168">
        <f t="shared" ca="1" si="25"/>
        <v>0</v>
      </c>
      <c r="AM168">
        <f t="shared" ca="1" si="26"/>
        <v>2</v>
      </c>
      <c r="AN168">
        <f t="shared" ca="1" si="27"/>
        <v>0</v>
      </c>
      <c r="AO168">
        <f t="shared" ca="1" si="28"/>
        <v>0</v>
      </c>
      <c r="AP168">
        <f t="shared" ca="1" si="29"/>
        <v>1</v>
      </c>
      <c r="AQ168">
        <f t="shared" ca="1" si="30"/>
        <v>1</v>
      </c>
      <c r="AR168">
        <f t="shared" ca="1" si="31"/>
        <v>0</v>
      </c>
      <c r="AS168">
        <v>0</v>
      </c>
    </row>
    <row r="169" spans="1:45" x14ac:dyDescent="0.3">
      <c r="A169" s="1">
        <v>276</v>
      </c>
      <c r="C169" t="s">
        <v>370</v>
      </c>
      <c r="D169">
        <v>2015</v>
      </c>
      <c r="E169">
        <v>0</v>
      </c>
      <c r="F169">
        <v>3</v>
      </c>
      <c r="G169" t="s">
        <v>561</v>
      </c>
      <c r="H169" t="s">
        <v>705</v>
      </c>
      <c r="I169" t="s">
        <v>1026</v>
      </c>
      <c r="J169" t="s">
        <v>1296</v>
      </c>
      <c r="K169" t="s">
        <v>1522</v>
      </c>
      <c r="L169" t="s">
        <v>1710</v>
      </c>
      <c r="M169" t="s">
        <v>1860</v>
      </c>
      <c r="Z169" s="23" t="s">
        <v>2168</v>
      </c>
      <c r="AA169" s="22" t="s">
        <v>2167</v>
      </c>
      <c r="AB169" s="23" t="s">
        <v>2168</v>
      </c>
      <c r="AI169">
        <f t="shared" si="22"/>
        <v>0</v>
      </c>
      <c r="AJ169">
        <f t="shared" si="23"/>
        <v>2</v>
      </c>
      <c r="AK169">
        <f t="shared" ca="1" si="24"/>
        <v>0</v>
      </c>
      <c r="AL169">
        <f t="shared" ca="1" si="25"/>
        <v>2</v>
      </c>
      <c r="AM169">
        <f t="shared" ca="1" si="26"/>
        <v>1</v>
      </c>
      <c r="AN169">
        <f t="shared" ca="1" si="27"/>
        <v>0</v>
      </c>
      <c r="AO169">
        <f t="shared" ca="1" si="28"/>
        <v>0</v>
      </c>
      <c r="AP169">
        <f t="shared" ca="1" si="29"/>
        <v>1</v>
      </c>
      <c r="AQ169">
        <f t="shared" ca="1" si="30"/>
        <v>1</v>
      </c>
      <c r="AR169">
        <f t="shared" ca="1" si="31"/>
        <v>0</v>
      </c>
      <c r="AS169">
        <v>0</v>
      </c>
    </row>
    <row r="170" spans="1:45" x14ac:dyDescent="0.3">
      <c r="A170" s="1">
        <v>277</v>
      </c>
      <c r="C170" t="s">
        <v>371</v>
      </c>
      <c r="D170">
        <v>2015</v>
      </c>
      <c r="E170">
        <v>0</v>
      </c>
      <c r="F170">
        <v>2</v>
      </c>
      <c r="G170" t="s">
        <v>561</v>
      </c>
      <c r="H170" t="s">
        <v>706</v>
      </c>
      <c r="I170" t="s">
        <v>1027</v>
      </c>
      <c r="J170" t="s">
        <v>1297</v>
      </c>
      <c r="K170" t="s">
        <v>1064</v>
      </c>
      <c r="Z170" s="22" t="s">
        <v>2167</v>
      </c>
      <c r="AA170" s="22" t="s">
        <v>2167</v>
      </c>
      <c r="AI170">
        <f t="shared" si="22"/>
        <v>0</v>
      </c>
      <c r="AJ170">
        <f t="shared" si="23"/>
        <v>0</v>
      </c>
      <c r="AK170">
        <f t="shared" ca="1" si="24"/>
        <v>0</v>
      </c>
      <c r="AL170">
        <f t="shared" ca="1" si="25"/>
        <v>0</v>
      </c>
      <c r="AM170">
        <f t="shared" ca="1" si="26"/>
        <v>2</v>
      </c>
      <c r="AN170">
        <f t="shared" ca="1" si="27"/>
        <v>0</v>
      </c>
      <c r="AO170">
        <f t="shared" ca="1" si="28"/>
        <v>0</v>
      </c>
      <c r="AP170">
        <f t="shared" ca="1" si="29"/>
        <v>1</v>
      </c>
      <c r="AQ170">
        <f t="shared" ca="1" si="30"/>
        <v>1</v>
      </c>
      <c r="AR170">
        <f t="shared" ca="1" si="31"/>
        <v>0</v>
      </c>
      <c r="AS170">
        <v>0</v>
      </c>
    </row>
    <row r="171" spans="1:45" x14ac:dyDescent="0.3">
      <c r="A171" s="1">
        <v>301</v>
      </c>
      <c r="C171" t="s">
        <v>372</v>
      </c>
      <c r="D171">
        <v>2015</v>
      </c>
      <c r="E171">
        <v>0</v>
      </c>
      <c r="F171">
        <v>2</v>
      </c>
      <c r="G171" t="s">
        <v>561</v>
      </c>
      <c r="H171" t="s">
        <v>707</v>
      </c>
      <c r="I171" t="s">
        <v>1028</v>
      </c>
      <c r="J171" t="s">
        <v>1298</v>
      </c>
      <c r="K171" t="s">
        <v>1523</v>
      </c>
      <c r="Z171" s="22" t="s">
        <v>2167</v>
      </c>
      <c r="AA171" s="22" t="s">
        <v>2167</v>
      </c>
      <c r="AI171">
        <f t="shared" si="22"/>
        <v>0</v>
      </c>
      <c r="AJ171">
        <f t="shared" si="23"/>
        <v>0</v>
      </c>
      <c r="AK171">
        <f t="shared" ca="1" si="24"/>
        <v>0</v>
      </c>
      <c r="AL171">
        <f t="shared" ca="1" si="25"/>
        <v>0</v>
      </c>
      <c r="AM171">
        <f t="shared" ca="1" si="26"/>
        <v>2</v>
      </c>
      <c r="AN171">
        <f t="shared" ca="1" si="27"/>
        <v>0</v>
      </c>
      <c r="AO171">
        <f t="shared" ca="1" si="28"/>
        <v>0</v>
      </c>
      <c r="AP171">
        <f t="shared" ca="1" si="29"/>
        <v>1</v>
      </c>
      <c r="AQ171">
        <f t="shared" ca="1" si="30"/>
        <v>1</v>
      </c>
      <c r="AR171">
        <f t="shared" ca="1" si="31"/>
        <v>0</v>
      </c>
      <c r="AS171">
        <v>0</v>
      </c>
    </row>
    <row r="172" spans="1:45" x14ac:dyDescent="0.3">
      <c r="A172" s="1">
        <v>331</v>
      </c>
      <c r="C172" t="s">
        <v>373</v>
      </c>
      <c r="D172">
        <v>2015</v>
      </c>
      <c r="E172">
        <v>0</v>
      </c>
      <c r="F172">
        <v>3</v>
      </c>
      <c r="G172" t="s">
        <v>561</v>
      </c>
      <c r="H172" t="s">
        <v>708</v>
      </c>
      <c r="I172" t="s">
        <v>1029</v>
      </c>
      <c r="J172" t="s">
        <v>1299</v>
      </c>
      <c r="K172" t="s">
        <v>1524</v>
      </c>
      <c r="L172" t="s">
        <v>1711</v>
      </c>
      <c r="M172" t="s">
        <v>1861</v>
      </c>
      <c r="Z172" s="21" t="s">
        <v>2166</v>
      </c>
      <c r="AA172" s="21" t="s">
        <v>2166</v>
      </c>
      <c r="AB172" s="21" t="s">
        <v>2166</v>
      </c>
      <c r="AI172">
        <f t="shared" si="22"/>
        <v>3</v>
      </c>
      <c r="AJ172">
        <f t="shared" si="23"/>
        <v>0</v>
      </c>
      <c r="AK172">
        <f t="shared" ca="1" si="24"/>
        <v>3</v>
      </c>
      <c r="AL172">
        <f t="shared" ca="1" si="25"/>
        <v>0</v>
      </c>
      <c r="AM172">
        <f t="shared" ca="1" si="26"/>
        <v>0</v>
      </c>
      <c r="AN172">
        <f t="shared" ca="1" si="27"/>
        <v>1</v>
      </c>
      <c r="AO172">
        <f t="shared" ca="1" si="28"/>
        <v>0</v>
      </c>
      <c r="AP172">
        <f t="shared" ca="1" si="29"/>
        <v>0</v>
      </c>
      <c r="AQ172">
        <f t="shared" ca="1" si="30"/>
        <v>0</v>
      </c>
      <c r="AR172">
        <f t="shared" ca="1" si="31"/>
        <v>0.22222222222222221</v>
      </c>
      <c r="AS172">
        <v>0</v>
      </c>
    </row>
    <row r="173" spans="1:45" x14ac:dyDescent="0.3">
      <c r="A173" s="1">
        <v>332</v>
      </c>
      <c r="C173" t="s">
        <v>374</v>
      </c>
      <c r="D173">
        <v>2015</v>
      </c>
      <c r="E173">
        <v>0</v>
      </c>
      <c r="F173">
        <v>4</v>
      </c>
      <c r="G173" t="s">
        <v>561</v>
      </c>
      <c r="H173" t="s">
        <v>709</v>
      </c>
      <c r="I173" t="s">
        <v>1030</v>
      </c>
      <c r="J173" t="s">
        <v>1300</v>
      </c>
      <c r="K173" t="s">
        <v>1525</v>
      </c>
      <c r="L173" t="s">
        <v>1712</v>
      </c>
      <c r="M173" t="s">
        <v>1862</v>
      </c>
      <c r="N173" t="s">
        <v>1960</v>
      </c>
      <c r="O173" t="s">
        <v>2020</v>
      </c>
      <c r="Z173" s="23" t="s">
        <v>2168</v>
      </c>
      <c r="AA173" s="23" t="s">
        <v>2168</v>
      </c>
      <c r="AB173" s="23" t="s">
        <v>2168</v>
      </c>
      <c r="AC173" s="23" t="s">
        <v>2168</v>
      </c>
      <c r="AI173">
        <f t="shared" si="22"/>
        <v>0</v>
      </c>
      <c r="AJ173">
        <f t="shared" si="23"/>
        <v>4</v>
      </c>
      <c r="AK173">
        <f t="shared" ca="1" si="24"/>
        <v>0</v>
      </c>
      <c r="AL173">
        <f t="shared" ca="1" si="25"/>
        <v>4</v>
      </c>
      <c r="AM173">
        <f t="shared" ca="1" si="26"/>
        <v>0</v>
      </c>
      <c r="AN173">
        <f t="shared" ca="1" si="27"/>
        <v>0</v>
      </c>
      <c r="AO173">
        <f t="shared" ca="1" si="28"/>
        <v>1</v>
      </c>
      <c r="AP173">
        <f t="shared" ca="1" si="29"/>
        <v>0</v>
      </c>
      <c r="AQ173">
        <f t="shared" ca="1" si="30"/>
        <v>0</v>
      </c>
      <c r="AR173">
        <f t="shared" ca="1" si="31"/>
        <v>0</v>
      </c>
      <c r="AS173">
        <v>0</v>
      </c>
    </row>
    <row r="174" spans="1:45" x14ac:dyDescent="0.3">
      <c r="A174" s="1">
        <v>336</v>
      </c>
      <c r="C174" t="s">
        <v>375</v>
      </c>
      <c r="D174">
        <v>2015</v>
      </c>
      <c r="E174">
        <v>0</v>
      </c>
      <c r="F174">
        <v>2</v>
      </c>
      <c r="G174" t="s">
        <v>561</v>
      </c>
      <c r="H174" t="s">
        <v>710</v>
      </c>
      <c r="I174" t="s">
        <v>1031</v>
      </c>
      <c r="J174" t="s">
        <v>1301</v>
      </c>
      <c r="K174" t="s">
        <v>1526</v>
      </c>
      <c r="Z174" s="22" t="s">
        <v>2167</v>
      </c>
      <c r="AA174" s="22" t="s">
        <v>2167</v>
      </c>
      <c r="AI174">
        <f t="shared" si="22"/>
        <v>0</v>
      </c>
      <c r="AJ174">
        <f t="shared" si="23"/>
        <v>0</v>
      </c>
      <c r="AK174">
        <f t="shared" ca="1" si="24"/>
        <v>0</v>
      </c>
      <c r="AL174">
        <f t="shared" ca="1" si="25"/>
        <v>0</v>
      </c>
      <c r="AM174">
        <f t="shared" ca="1" si="26"/>
        <v>2</v>
      </c>
      <c r="AN174">
        <f t="shared" ca="1" si="27"/>
        <v>0</v>
      </c>
      <c r="AO174">
        <f t="shared" ca="1" si="28"/>
        <v>0</v>
      </c>
      <c r="AP174">
        <f t="shared" ca="1" si="29"/>
        <v>1</v>
      </c>
      <c r="AQ174">
        <f t="shared" ca="1" si="30"/>
        <v>1</v>
      </c>
      <c r="AR174">
        <f t="shared" ca="1" si="31"/>
        <v>0</v>
      </c>
      <c r="AS174">
        <v>0</v>
      </c>
    </row>
    <row r="175" spans="1:45" x14ac:dyDescent="0.3">
      <c r="A175" s="1">
        <v>342</v>
      </c>
      <c r="C175" t="s">
        <v>376</v>
      </c>
      <c r="D175">
        <v>2015</v>
      </c>
      <c r="E175">
        <v>0</v>
      </c>
      <c r="F175">
        <v>2</v>
      </c>
      <c r="G175" t="s">
        <v>561</v>
      </c>
      <c r="H175" t="s">
        <v>711</v>
      </c>
      <c r="I175" t="s">
        <v>1032</v>
      </c>
      <c r="J175" t="s">
        <v>1302</v>
      </c>
      <c r="K175" t="s">
        <v>1527</v>
      </c>
      <c r="Z175" s="21" t="s">
        <v>2166</v>
      </c>
      <c r="AA175" s="23" t="s">
        <v>2168</v>
      </c>
      <c r="AI175">
        <f t="shared" si="22"/>
        <v>1</v>
      </c>
      <c r="AJ175">
        <f t="shared" si="23"/>
        <v>1</v>
      </c>
      <c r="AK175">
        <f t="shared" ca="1" si="24"/>
        <v>1</v>
      </c>
      <c r="AL175">
        <f t="shared" ca="1" si="25"/>
        <v>1</v>
      </c>
      <c r="AM175">
        <f t="shared" ca="1" si="26"/>
        <v>0</v>
      </c>
      <c r="AN175">
        <f t="shared" ca="1" si="27"/>
        <v>0</v>
      </c>
      <c r="AO175">
        <f t="shared" ca="1" si="28"/>
        <v>0</v>
      </c>
      <c r="AP175">
        <f t="shared" ca="1" si="29"/>
        <v>0</v>
      </c>
      <c r="AQ175">
        <f t="shared" ca="1" si="30"/>
        <v>1</v>
      </c>
      <c r="AR175">
        <f t="shared" ca="1" si="31"/>
        <v>0.5</v>
      </c>
      <c r="AS175">
        <v>0</v>
      </c>
    </row>
    <row r="176" spans="1:45" x14ac:dyDescent="0.3">
      <c r="A176" s="1">
        <v>395</v>
      </c>
      <c r="C176" t="s">
        <v>377</v>
      </c>
      <c r="D176">
        <v>2015</v>
      </c>
      <c r="E176">
        <v>0</v>
      </c>
      <c r="F176">
        <v>2</v>
      </c>
      <c r="G176" t="s">
        <v>561</v>
      </c>
      <c r="H176" t="s">
        <v>712</v>
      </c>
      <c r="I176" t="s">
        <v>1033</v>
      </c>
      <c r="J176" t="s">
        <v>1303</v>
      </c>
      <c r="K176" t="s">
        <v>1528</v>
      </c>
      <c r="Z176" s="22" t="s">
        <v>2167</v>
      </c>
      <c r="AA176" s="22" t="s">
        <v>2167</v>
      </c>
      <c r="AI176">
        <f t="shared" si="22"/>
        <v>0</v>
      </c>
      <c r="AJ176">
        <f t="shared" si="23"/>
        <v>0</v>
      </c>
      <c r="AK176">
        <f t="shared" ca="1" si="24"/>
        <v>0</v>
      </c>
      <c r="AL176">
        <f t="shared" ca="1" si="25"/>
        <v>0</v>
      </c>
      <c r="AM176">
        <f t="shared" ca="1" si="26"/>
        <v>2</v>
      </c>
      <c r="AN176">
        <f t="shared" ca="1" si="27"/>
        <v>0</v>
      </c>
      <c r="AO176">
        <f t="shared" ca="1" si="28"/>
        <v>0</v>
      </c>
      <c r="AP176">
        <f t="shared" ca="1" si="29"/>
        <v>1</v>
      </c>
      <c r="AQ176">
        <f t="shared" ca="1" si="30"/>
        <v>1</v>
      </c>
      <c r="AR176">
        <f t="shared" ca="1" si="31"/>
        <v>0</v>
      </c>
      <c r="AS176">
        <v>0</v>
      </c>
    </row>
    <row r="177" spans="1:45" x14ac:dyDescent="0.3">
      <c r="A177" s="1">
        <v>396</v>
      </c>
      <c r="C177" t="s">
        <v>378</v>
      </c>
      <c r="D177">
        <v>2015</v>
      </c>
      <c r="E177">
        <v>0</v>
      </c>
      <c r="F177">
        <v>4</v>
      </c>
      <c r="G177" t="s">
        <v>561</v>
      </c>
      <c r="H177" t="s">
        <v>713</v>
      </c>
      <c r="I177" t="s">
        <v>888</v>
      </c>
      <c r="J177" t="s">
        <v>1304</v>
      </c>
      <c r="K177" t="s">
        <v>1529</v>
      </c>
      <c r="L177" t="s">
        <v>1713</v>
      </c>
      <c r="M177" t="s">
        <v>1863</v>
      </c>
      <c r="N177" t="s">
        <v>1961</v>
      </c>
      <c r="O177" t="s">
        <v>2021</v>
      </c>
      <c r="Z177" s="23" t="s">
        <v>2168</v>
      </c>
      <c r="AA177" s="21" t="s">
        <v>2166</v>
      </c>
      <c r="AB177" s="21" t="s">
        <v>2166</v>
      </c>
      <c r="AC177" s="21" t="s">
        <v>2166</v>
      </c>
      <c r="AI177">
        <f t="shared" si="22"/>
        <v>3</v>
      </c>
      <c r="AJ177">
        <f t="shared" si="23"/>
        <v>1</v>
      </c>
      <c r="AK177">
        <f t="shared" ca="1" si="24"/>
        <v>3</v>
      </c>
      <c r="AL177">
        <f t="shared" ca="1" si="25"/>
        <v>1</v>
      </c>
      <c r="AM177">
        <f t="shared" ca="1" si="26"/>
        <v>0</v>
      </c>
      <c r="AN177">
        <f t="shared" ca="1" si="27"/>
        <v>0</v>
      </c>
      <c r="AO177">
        <f t="shared" ca="1" si="28"/>
        <v>0</v>
      </c>
      <c r="AP177">
        <f t="shared" ca="1" si="29"/>
        <v>0</v>
      </c>
      <c r="AQ177">
        <f t="shared" ca="1" si="30"/>
        <v>1</v>
      </c>
      <c r="AR177">
        <f t="shared" ca="1" si="31"/>
        <v>9.375E-2</v>
      </c>
      <c r="AS177">
        <v>0</v>
      </c>
    </row>
    <row r="178" spans="1:45" x14ac:dyDescent="0.3">
      <c r="A178" s="1">
        <v>397</v>
      </c>
      <c r="C178" t="s">
        <v>379</v>
      </c>
      <c r="D178">
        <v>2015</v>
      </c>
      <c r="E178">
        <v>0</v>
      </c>
      <c r="F178">
        <v>3</v>
      </c>
      <c r="G178" t="s">
        <v>561</v>
      </c>
      <c r="H178" t="s">
        <v>714</v>
      </c>
      <c r="I178" t="s">
        <v>1034</v>
      </c>
      <c r="J178" t="s">
        <v>1305</v>
      </c>
      <c r="K178" t="s">
        <v>1530</v>
      </c>
      <c r="L178" t="s">
        <v>1714</v>
      </c>
      <c r="M178" t="s">
        <v>1173</v>
      </c>
      <c r="Z178" s="22" t="s">
        <v>2167</v>
      </c>
      <c r="AA178" s="22" t="s">
        <v>2167</v>
      </c>
      <c r="AB178" s="22" t="s">
        <v>2167</v>
      </c>
      <c r="AI178">
        <f t="shared" si="22"/>
        <v>0</v>
      </c>
      <c r="AJ178">
        <f t="shared" si="23"/>
        <v>0</v>
      </c>
      <c r="AK178">
        <f t="shared" ca="1" si="24"/>
        <v>0</v>
      </c>
      <c r="AL178">
        <f t="shared" ca="1" si="25"/>
        <v>0</v>
      </c>
      <c r="AM178">
        <f t="shared" ca="1" si="26"/>
        <v>3</v>
      </c>
      <c r="AN178">
        <f t="shared" ca="1" si="27"/>
        <v>0</v>
      </c>
      <c r="AO178">
        <f t="shared" ca="1" si="28"/>
        <v>0</v>
      </c>
      <c r="AP178">
        <f t="shared" ca="1" si="29"/>
        <v>1</v>
      </c>
      <c r="AQ178">
        <f t="shared" ca="1" si="30"/>
        <v>1</v>
      </c>
      <c r="AR178">
        <f t="shared" ca="1" si="31"/>
        <v>0</v>
      </c>
      <c r="AS178">
        <v>0</v>
      </c>
    </row>
    <row r="179" spans="1:45" x14ac:dyDescent="0.3">
      <c r="A179" s="1">
        <v>398</v>
      </c>
      <c r="C179" t="s">
        <v>380</v>
      </c>
      <c r="D179">
        <v>2015</v>
      </c>
      <c r="E179">
        <v>0</v>
      </c>
      <c r="F179">
        <v>4</v>
      </c>
      <c r="G179" t="s">
        <v>561</v>
      </c>
      <c r="H179" t="s">
        <v>715</v>
      </c>
      <c r="I179" t="s">
        <v>1035</v>
      </c>
      <c r="J179" t="s">
        <v>723</v>
      </c>
      <c r="K179" t="s">
        <v>1043</v>
      </c>
      <c r="L179" t="s">
        <v>1715</v>
      </c>
      <c r="M179" t="s">
        <v>1864</v>
      </c>
      <c r="N179" t="s">
        <v>1962</v>
      </c>
      <c r="O179" t="s">
        <v>2022</v>
      </c>
      <c r="Z179" s="23" t="s">
        <v>2168</v>
      </c>
      <c r="AA179" s="22" t="s">
        <v>2167</v>
      </c>
      <c r="AB179" s="22" t="s">
        <v>2167</v>
      </c>
      <c r="AC179" s="22" t="s">
        <v>2167</v>
      </c>
      <c r="AI179">
        <f t="shared" si="22"/>
        <v>0</v>
      </c>
      <c r="AJ179">
        <f t="shared" si="23"/>
        <v>1</v>
      </c>
      <c r="AK179">
        <f t="shared" ca="1" si="24"/>
        <v>0</v>
      </c>
      <c r="AL179">
        <f t="shared" ca="1" si="25"/>
        <v>1</v>
      </c>
      <c r="AM179">
        <f t="shared" ca="1" si="26"/>
        <v>3</v>
      </c>
      <c r="AN179">
        <f t="shared" ca="1" si="27"/>
        <v>0</v>
      </c>
      <c r="AO179">
        <f t="shared" ca="1" si="28"/>
        <v>0</v>
      </c>
      <c r="AP179">
        <f t="shared" ca="1" si="29"/>
        <v>1</v>
      </c>
      <c r="AQ179">
        <f t="shared" ca="1" si="30"/>
        <v>1</v>
      </c>
      <c r="AR179">
        <f t="shared" ca="1" si="31"/>
        <v>0</v>
      </c>
      <c r="AS179">
        <v>0</v>
      </c>
    </row>
    <row r="180" spans="1:45" x14ac:dyDescent="0.3">
      <c r="A180" s="1">
        <v>399</v>
      </c>
      <c r="C180" t="s">
        <v>381</v>
      </c>
      <c r="D180">
        <v>2015</v>
      </c>
      <c r="E180">
        <v>0</v>
      </c>
      <c r="F180">
        <v>4</v>
      </c>
      <c r="G180" t="s">
        <v>561</v>
      </c>
      <c r="H180" t="s">
        <v>716</v>
      </c>
      <c r="I180" t="s">
        <v>1036</v>
      </c>
      <c r="J180" t="s">
        <v>1306</v>
      </c>
      <c r="K180" t="s">
        <v>1531</v>
      </c>
      <c r="L180" t="s">
        <v>1716</v>
      </c>
      <c r="M180" t="s">
        <v>1865</v>
      </c>
      <c r="N180" t="s">
        <v>1963</v>
      </c>
      <c r="O180" t="s">
        <v>2023</v>
      </c>
      <c r="Z180" s="23" t="s">
        <v>2168</v>
      </c>
      <c r="AA180" s="23" t="s">
        <v>2168</v>
      </c>
      <c r="AB180" s="23" t="s">
        <v>2168</v>
      </c>
      <c r="AC180" s="23" t="s">
        <v>2168</v>
      </c>
      <c r="AI180">
        <f t="shared" si="22"/>
        <v>0</v>
      </c>
      <c r="AJ180">
        <f t="shared" si="23"/>
        <v>4</v>
      </c>
      <c r="AK180">
        <f t="shared" ca="1" si="24"/>
        <v>0</v>
      </c>
      <c r="AL180">
        <f t="shared" ca="1" si="25"/>
        <v>4</v>
      </c>
      <c r="AM180">
        <f t="shared" ca="1" si="26"/>
        <v>0</v>
      </c>
      <c r="AN180">
        <f t="shared" ca="1" si="27"/>
        <v>0</v>
      </c>
      <c r="AO180">
        <f t="shared" ca="1" si="28"/>
        <v>1</v>
      </c>
      <c r="AP180">
        <f t="shared" ca="1" si="29"/>
        <v>0</v>
      </c>
      <c r="AQ180">
        <f t="shared" ca="1" si="30"/>
        <v>0</v>
      </c>
      <c r="AR180">
        <f t="shared" ca="1" si="31"/>
        <v>0</v>
      </c>
      <c r="AS180">
        <v>0</v>
      </c>
    </row>
    <row r="181" spans="1:45" x14ac:dyDescent="0.3">
      <c r="A181" s="1">
        <v>400</v>
      </c>
      <c r="C181" t="s">
        <v>382</v>
      </c>
      <c r="D181">
        <v>2015</v>
      </c>
      <c r="E181">
        <v>0</v>
      </c>
      <c r="F181">
        <v>3</v>
      </c>
      <c r="G181" t="s">
        <v>561</v>
      </c>
      <c r="H181" t="s">
        <v>717</v>
      </c>
      <c r="I181" t="s">
        <v>1037</v>
      </c>
      <c r="J181" t="s">
        <v>1307</v>
      </c>
      <c r="K181" t="s">
        <v>1532</v>
      </c>
      <c r="L181" t="s">
        <v>1717</v>
      </c>
      <c r="M181" t="s">
        <v>1866</v>
      </c>
      <c r="Z181" s="21" t="s">
        <v>2166</v>
      </c>
      <c r="AA181" s="23" t="s">
        <v>2168</v>
      </c>
      <c r="AB181" s="23" t="s">
        <v>2168</v>
      </c>
      <c r="AI181">
        <f t="shared" si="22"/>
        <v>1</v>
      </c>
      <c r="AJ181">
        <f t="shared" si="23"/>
        <v>2</v>
      </c>
      <c r="AK181">
        <f t="shared" ca="1" si="24"/>
        <v>1</v>
      </c>
      <c r="AL181">
        <f t="shared" ca="1" si="25"/>
        <v>2</v>
      </c>
      <c r="AM181">
        <f t="shared" ca="1" si="26"/>
        <v>0</v>
      </c>
      <c r="AN181">
        <f t="shared" ca="1" si="27"/>
        <v>0</v>
      </c>
      <c r="AO181">
        <f t="shared" ca="1" si="28"/>
        <v>0</v>
      </c>
      <c r="AP181">
        <f t="shared" ca="1" si="29"/>
        <v>0</v>
      </c>
      <c r="AQ181">
        <f t="shared" ca="1" si="30"/>
        <v>1</v>
      </c>
      <c r="AR181">
        <f t="shared" ca="1" si="31"/>
        <v>0.33333333333333331</v>
      </c>
      <c r="AS181">
        <v>0</v>
      </c>
    </row>
    <row r="182" spans="1:45" x14ac:dyDescent="0.3">
      <c r="A182" s="1">
        <v>401</v>
      </c>
      <c r="C182" t="s">
        <v>383</v>
      </c>
      <c r="D182">
        <v>2015</v>
      </c>
      <c r="E182">
        <v>0</v>
      </c>
      <c r="F182">
        <v>2</v>
      </c>
      <c r="G182" t="s">
        <v>561</v>
      </c>
      <c r="H182" t="s">
        <v>718</v>
      </c>
      <c r="I182" t="s">
        <v>1038</v>
      </c>
      <c r="J182" t="s">
        <v>1308</v>
      </c>
      <c r="K182" t="s">
        <v>1533</v>
      </c>
      <c r="Z182" s="23" t="s">
        <v>2168</v>
      </c>
      <c r="AA182" s="22" t="s">
        <v>2167</v>
      </c>
      <c r="AI182">
        <f t="shared" si="22"/>
        <v>0</v>
      </c>
      <c r="AJ182">
        <f t="shared" si="23"/>
        <v>1</v>
      </c>
      <c r="AK182">
        <f t="shared" ca="1" si="24"/>
        <v>0</v>
      </c>
      <c r="AL182">
        <f t="shared" ca="1" si="25"/>
        <v>1</v>
      </c>
      <c r="AM182">
        <f t="shared" ca="1" si="26"/>
        <v>1</v>
      </c>
      <c r="AN182">
        <f t="shared" ca="1" si="27"/>
        <v>0</v>
      </c>
      <c r="AO182">
        <f t="shared" ca="1" si="28"/>
        <v>0</v>
      </c>
      <c r="AP182">
        <f t="shared" ca="1" si="29"/>
        <v>1</v>
      </c>
      <c r="AQ182">
        <f t="shared" ca="1" si="30"/>
        <v>1</v>
      </c>
      <c r="AR182">
        <f t="shared" ca="1" si="31"/>
        <v>0</v>
      </c>
      <c r="AS182">
        <v>0</v>
      </c>
    </row>
    <row r="183" spans="1:45" x14ac:dyDescent="0.3">
      <c r="A183" s="1">
        <v>438</v>
      </c>
      <c r="C183" t="s">
        <v>384</v>
      </c>
      <c r="D183">
        <v>2016</v>
      </c>
      <c r="E183">
        <v>0</v>
      </c>
      <c r="F183">
        <v>2</v>
      </c>
      <c r="G183" t="s">
        <v>561</v>
      </c>
      <c r="H183" t="s">
        <v>719</v>
      </c>
      <c r="I183" t="s">
        <v>1039</v>
      </c>
      <c r="J183" t="s">
        <v>1309</v>
      </c>
      <c r="K183" t="s">
        <v>1534</v>
      </c>
      <c r="Z183" s="22" t="s">
        <v>2167</v>
      </c>
      <c r="AA183" s="22" t="s">
        <v>2167</v>
      </c>
      <c r="AI183">
        <f t="shared" si="22"/>
        <v>0</v>
      </c>
      <c r="AJ183">
        <f t="shared" si="23"/>
        <v>0</v>
      </c>
      <c r="AK183">
        <f t="shared" ca="1" si="24"/>
        <v>0</v>
      </c>
      <c r="AL183">
        <f t="shared" ca="1" si="25"/>
        <v>0</v>
      </c>
      <c r="AM183">
        <f t="shared" ca="1" si="26"/>
        <v>2</v>
      </c>
      <c r="AN183">
        <f t="shared" ca="1" si="27"/>
        <v>0</v>
      </c>
      <c r="AO183">
        <f t="shared" ca="1" si="28"/>
        <v>0</v>
      </c>
      <c r="AP183">
        <f t="shared" ca="1" si="29"/>
        <v>1</v>
      </c>
      <c r="AQ183">
        <f t="shared" ca="1" si="30"/>
        <v>1</v>
      </c>
      <c r="AR183">
        <f t="shared" ca="1" si="31"/>
        <v>0</v>
      </c>
      <c r="AS183">
        <v>0</v>
      </c>
    </row>
    <row r="184" spans="1:45" x14ac:dyDescent="0.3">
      <c r="A184" s="1">
        <v>439</v>
      </c>
      <c r="C184" t="s">
        <v>385</v>
      </c>
      <c r="D184">
        <v>2016</v>
      </c>
      <c r="E184">
        <v>0</v>
      </c>
      <c r="F184">
        <v>4</v>
      </c>
      <c r="G184" t="s">
        <v>561</v>
      </c>
      <c r="H184" t="s">
        <v>720</v>
      </c>
      <c r="I184" t="s">
        <v>1040</v>
      </c>
      <c r="J184" t="s">
        <v>1310</v>
      </c>
      <c r="K184" t="s">
        <v>1535</v>
      </c>
      <c r="L184" t="s">
        <v>1718</v>
      </c>
      <c r="M184" t="s">
        <v>1867</v>
      </c>
      <c r="N184" t="s">
        <v>1964</v>
      </c>
      <c r="O184" t="s">
        <v>2024</v>
      </c>
      <c r="Z184" s="22" t="s">
        <v>2167</v>
      </c>
      <c r="AA184" s="22" t="s">
        <v>2167</v>
      </c>
      <c r="AB184" s="21" t="s">
        <v>2166</v>
      </c>
      <c r="AC184" s="23" t="s">
        <v>2168</v>
      </c>
      <c r="AI184">
        <f t="shared" si="22"/>
        <v>1</v>
      </c>
      <c r="AJ184">
        <f t="shared" si="23"/>
        <v>1</v>
      </c>
      <c r="AK184">
        <f t="shared" ca="1" si="24"/>
        <v>1</v>
      </c>
      <c r="AL184">
        <f t="shared" ca="1" si="25"/>
        <v>1</v>
      </c>
      <c r="AM184">
        <f t="shared" ca="1" si="26"/>
        <v>2</v>
      </c>
      <c r="AN184">
        <f t="shared" ca="1" si="27"/>
        <v>0</v>
      </c>
      <c r="AO184">
        <f t="shared" ca="1" si="28"/>
        <v>0</v>
      </c>
      <c r="AP184">
        <f t="shared" ca="1" si="29"/>
        <v>1</v>
      </c>
      <c r="AQ184">
        <f t="shared" ca="1" si="30"/>
        <v>1</v>
      </c>
      <c r="AR184">
        <f t="shared" ca="1" si="31"/>
        <v>0.25</v>
      </c>
      <c r="AS184">
        <v>0</v>
      </c>
    </row>
    <row r="185" spans="1:45" x14ac:dyDescent="0.3">
      <c r="A185" s="1">
        <v>440</v>
      </c>
      <c r="C185" t="s">
        <v>386</v>
      </c>
      <c r="D185">
        <v>2016</v>
      </c>
      <c r="E185">
        <v>0</v>
      </c>
      <c r="F185">
        <v>4</v>
      </c>
      <c r="G185" t="s">
        <v>561</v>
      </c>
      <c r="H185" t="s">
        <v>721</v>
      </c>
      <c r="I185" t="s">
        <v>1041</v>
      </c>
      <c r="J185" t="s">
        <v>1311</v>
      </c>
      <c r="K185" t="s">
        <v>1536</v>
      </c>
      <c r="L185" t="s">
        <v>1719</v>
      </c>
      <c r="M185" t="s">
        <v>1868</v>
      </c>
      <c r="N185" t="s">
        <v>1965</v>
      </c>
      <c r="O185" t="s">
        <v>2025</v>
      </c>
      <c r="Z185" s="22" t="s">
        <v>2167</v>
      </c>
      <c r="AA185" s="22" t="s">
        <v>2167</v>
      </c>
      <c r="AB185" s="22" t="s">
        <v>2167</v>
      </c>
      <c r="AC185" s="22" t="s">
        <v>2167</v>
      </c>
      <c r="AI185">
        <f t="shared" si="22"/>
        <v>0</v>
      </c>
      <c r="AJ185">
        <f t="shared" si="23"/>
        <v>0</v>
      </c>
      <c r="AK185">
        <f t="shared" ca="1" si="24"/>
        <v>0</v>
      </c>
      <c r="AL185">
        <f t="shared" ca="1" si="25"/>
        <v>0</v>
      </c>
      <c r="AM185">
        <f t="shared" ca="1" si="26"/>
        <v>4</v>
      </c>
      <c r="AN185">
        <f t="shared" ca="1" si="27"/>
        <v>0</v>
      </c>
      <c r="AO185">
        <f t="shared" ca="1" si="28"/>
        <v>0</v>
      </c>
      <c r="AP185">
        <f t="shared" ca="1" si="29"/>
        <v>1</v>
      </c>
      <c r="AQ185">
        <f t="shared" ca="1" si="30"/>
        <v>1</v>
      </c>
      <c r="AR185">
        <f t="shared" ca="1" si="31"/>
        <v>0</v>
      </c>
      <c r="AS185">
        <v>0</v>
      </c>
    </row>
    <row r="186" spans="1:45" x14ac:dyDescent="0.3">
      <c r="A186" s="1">
        <v>441</v>
      </c>
      <c r="C186" t="s">
        <v>387</v>
      </c>
      <c r="D186">
        <v>2015</v>
      </c>
      <c r="E186">
        <v>0</v>
      </c>
      <c r="F186">
        <v>3</v>
      </c>
      <c r="G186" t="s">
        <v>561</v>
      </c>
      <c r="H186" t="s">
        <v>722</v>
      </c>
      <c r="I186" t="s">
        <v>1042</v>
      </c>
      <c r="J186" t="s">
        <v>1312</v>
      </c>
      <c r="K186" t="s">
        <v>1537</v>
      </c>
      <c r="L186" t="s">
        <v>1720</v>
      </c>
      <c r="M186" t="s">
        <v>1869</v>
      </c>
      <c r="Z186" s="22" t="s">
        <v>2167</v>
      </c>
      <c r="AA186" s="22" t="s">
        <v>2167</v>
      </c>
      <c r="AB186" s="22" t="s">
        <v>2167</v>
      </c>
      <c r="AI186">
        <f t="shared" si="22"/>
        <v>0</v>
      </c>
      <c r="AJ186">
        <f t="shared" si="23"/>
        <v>0</v>
      </c>
      <c r="AK186">
        <f t="shared" ca="1" si="24"/>
        <v>0</v>
      </c>
      <c r="AL186">
        <f t="shared" ca="1" si="25"/>
        <v>0</v>
      </c>
      <c r="AM186">
        <f t="shared" ca="1" si="26"/>
        <v>3</v>
      </c>
      <c r="AN186">
        <f t="shared" ca="1" si="27"/>
        <v>0</v>
      </c>
      <c r="AO186">
        <f t="shared" ca="1" si="28"/>
        <v>0</v>
      </c>
      <c r="AP186">
        <f t="shared" ca="1" si="29"/>
        <v>1</v>
      </c>
      <c r="AQ186">
        <f t="shared" ca="1" si="30"/>
        <v>1</v>
      </c>
      <c r="AR186">
        <f t="shared" ca="1" si="31"/>
        <v>0</v>
      </c>
      <c r="AS186">
        <v>0</v>
      </c>
    </row>
    <row r="187" spans="1:45" x14ac:dyDescent="0.3">
      <c r="A187" s="1">
        <v>442</v>
      </c>
      <c r="C187" t="s">
        <v>388</v>
      </c>
      <c r="D187">
        <v>2016</v>
      </c>
      <c r="E187">
        <v>0</v>
      </c>
      <c r="F187">
        <v>4</v>
      </c>
      <c r="G187" t="s">
        <v>561</v>
      </c>
      <c r="H187" t="s">
        <v>723</v>
      </c>
      <c r="I187" t="s">
        <v>1043</v>
      </c>
      <c r="J187" t="s">
        <v>1313</v>
      </c>
      <c r="K187" t="s">
        <v>1538</v>
      </c>
      <c r="L187" t="s">
        <v>1721</v>
      </c>
      <c r="M187" t="s">
        <v>1870</v>
      </c>
      <c r="N187" t="s">
        <v>1966</v>
      </c>
      <c r="O187" t="s">
        <v>2026</v>
      </c>
      <c r="Z187" s="22" t="s">
        <v>2167</v>
      </c>
      <c r="AA187" s="22" t="s">
        <v>2167</v>
      </c>
      <c r="AB187" s="22" t="s">
        <v>2167</v>
      </c>
      <c r="AC187" s="22" t="s">
        <v>2167</v>
      </c>
      <c r="AI187">
        <f t="shared" si="22"/>
        <v>0</v>
      </c>
      <c r="AJ187">
        <f t="shared" si="23"/>
        <v>0</v>
      </c>
      <c r="AK187">
        <f t="shared" ca="1" si="24"/>
        <v>0</v>
      </c>
      <c r="AL187">
        <f t="shared" ca="1" si="25"/>
        <v>0</v>
      </c>
      <c r="AM187">
        <f t="shared" ca="1" si="26"/>
        <v>4</v>
      </c>
      <c r="AN187">
        <f t="shared" ca="1" si="27"/>
        <v>0</v>
      </c>
      <c r="AO187">
        <f t="shared" ca="1" si="28"/>
        <v>0</v>
      </c>
      <c r="AP187">
        <f t="shared" ca="1" si="29"/>
        <v>1</v>
      </c>
      <c r="AQ187">
        <f t="shared" ca="1" si="30"/>
        <v>1</v>
      </c>
      <c r="AR187">
        <f t="shared" ca="1" si="31"/>
        <v>0</v>
      </c>
      <c r="AS187">
        <v>0</v>
      </c>
    </row>
    <row r="188" spans="1:45" x14ac:dyDescent="0.3">
      <c r="A188" s="1">
        <v>443</v>
      </c>
      <c r="C188" t="s">
        <v>389</v>
      </c>
      <c r="D188">
        <v>2016</v>
      </c>
      <c r="E188">
        <v>0</v>
      </c>
      <c r="F188">
        <v>2</v>
      </c>
      <c r="G188" t="s">
        <v>561</v>
      </c>
      <c r="H188" t="s">
        <v>724</v>
      </c>
      <c r="I188" t="s">
        <v>1037</v>
      </c>
      <c r="J188" t="s">
        <v>1314</v>
      </c>
      <c r="K188" t="s">
        <v>1532</v>
      </c>
      <c r="Z188" s="21" t="s">
        <v>2166</v>
      </c>
      <c r="AA188" s="23" t="s">
        <v>2168</v>
      </c>
      <c r="AI188">
        <f t="shared" si="22"/>
        <v>1</v>
      </c>
      <c r="AJ188">
        <f t="shared" si="23"/>
        <v>1</v>
      </c>
      <c r="AK188">
        <f t="shared" ca="1" si="24"/>
        <v>1</v>
      </c>
      <c r="AL188">
        <f t="shared" ca="1" si="25"/>
        <v>1</v>
      </c>
      <c r="AM188">
        <f t="shared" ca="1" si="26"/>
        <v>0</v>
      </c>
      <c r="AN188">
        <f t="shared" ca="1" si="27"/>
        <v>0</v>
      </c>
      <c r="AO188">
        <f t="shared" ca="1" si="28"/>
        <v>0</v>
      </c>
      <c r="AP188">
        <f t="shared" ca="1" si="29"/>
        <v>0</v>
      </c>
      <c r="AQ188">
        <f t="shared" ca="1" si="30"/>
        <v>1</v>
      </c>
      <c r="AR188">
        <f t="shared" ca="1" si="31"/>
        <v>0.5</v>
      </c>
      <c r="AS188">
        <v>0</v>
      </c>
    </row>
    <row r="189" spans="1:45" x14ac:dyDescent="0.3">
      <c r="A189" s="1">
        <v>444</v>
      </c>
      <c r="C189" t="s">
        <v>390</v>
      </c>
      <c r="D189">
        <v>2016</v>
      </c>
      <c r="E189">
        <v>0</v>
      </c>
      <c r="F189">
        <v>1</v>
      </c>
      <c r="G189" t="s">
        <v>561</v>
      </c>
      <c r="H189" t="s">
        <v>725</v>
      </c>
      <c r="I189" t="s">
        <v>1044</v>
      </c>
      <c r="Z189" s="22" t="s">
        <v>2167</v>
      </c>
      <c r="AI189">
        <f t="shared" si="22"/>
        <v>0</v>
      </c>
      <c r="AJ189">
        <f t="shared" si="23"/>
        <v>0</v>
      </c>
      <c r="AK189">
        <f t="shared" ca="1" si="24"/>
        <v>0</v>
      </c>
      <c r="AL189">
        <f t="shared" ca="1" si="25"/>
        <v>0</v>
      </c>
      <c r="AM189">
        <f t="shared" ca="1" si="26"/>
        <v>1</v>
      </c>
      <c r="AN189">
        <f t="shared" ca="1" si="27"/>
        <v>0</v>
      </c>
      <c r="AO189">
        <f t="shared" ca="1" si="28"/>
        <v>0</v>
      </c>
      <c r="AP189">
        <f t="shared" ca="1" si="29"/>
        <v>1</v>
      </c>
      <c r="AQ189">
        <f t="shared" ca="1" si="30"/>
        <v>1</v>
      </c>
      <c r="AR189">
        <f t="shared" ca="1" si="31"/>
        <v>0</v>
      </c>
      <c r="AS189">
        <v>0</v>
      </c>
    </row>
    <row r="190" spans="1:45" x14ac:dyDescent="0.3">
      <c r="A190" s="1">
        <v>445</v>
      </c>
      <c r="C190" t="s">
        <v>391</v>
      </c>
      <c r="D190">
        <v>2016</v>
      </c>
      <c r="E190">
        <v>0</v>
      </c>
      <c r="F190">
        <v>3</v>
      </c>
      <c r="G190" t="s">
        <v>561</v>
      </c>
      <c r="H190" t="s">
        <v>726</v>
      </c>
      <c r="I190" t="s">
        <v>1045</v>
      </c>
      <c r="J190" t="s">
        <v>1315</v>
      </c>
      <c r="K190" t="s">
        <v>1539</v>
      </c>
      <c r="L190" t="s">
        <v>1722</v>
      </c>
      <c r="M190" t="s">
        <v>1871</v>
      </c>
      <c r="Z190" s="22" t="s">
        <v>2167</v>
      </c>
      <c r="AA190" s="22" t="s">
        <v>2167</v>
      </c>
      <c r="AB190" s="22" t="s">
        <v>2167</v>
      </c>
      <c r="AI190">
        <f t="shared" si="22"/>
        <v>0</v>
      </c>
      <c r="AJ190">
        <f t="shared" si="23"/>
        <v>0</v>
      </c>
      <c r="AK190">
        <f t="shared" ca="1" si="24"/>
        <v>0</v>
      </c>
      <c r="AL190">
        <f t="shared" ca="1" si="25"/>
        <v>0</v>
      </c>
      <c r="AM190">
        <f t="shared" ca="1" si="26"/>
        <v>3</v>
      </c>
      <c r="AN190">
        <f t="shared" ca="1" si="27"/>
        <v>0</v>
      </c>
      <c r="AO190">
        <f t="shared" ca="1" si="28"/>
        <v>0</v>
      </c>
      <c r="AP190">
        <f t="shared" ca="1" si="29"/>
        <v>1</v>
      </c>
      <c r="AQ190">
        <f t="shared" ca="1" si="30"/>
        <v>1</v>
      </c>
      <c r="AR190">
        <f t="shared" ca="1" si="31"/>
        <v>0</v>
      </c>
      <c r="AS190">
        <v>0</v>
      </c>
    </row>
    <row r="191" spans="1:45" x14ac:dyDescent="0.3">
      <c r="A191" s="1">
        <v>446</v>
      </c>
      <c r="C191" t="s">
        <v>392</v>
      </c>
      <c r="D191">
        <v>2016</v>
      </c>
      <c r="E191">
        <v>0</v>
      </c>
      <c r="F191">
        <v>3</v>
      </c>
      <c r="G191" t="s">
        <v>561</v>
      </c>
      <c r="H191" t="s">
        <v>727</v>
      </c>
      <c r="I191" t="s">
        <v>1046</v>
      </c>
      <c r="J191" t="s">
        <v>1316</v>
      </c>
      <c r="K191" t="s">
        <v>1540</v>
      </c>
      <c r="L191" t="s">
        <v>1723</v>
      </c>
      <c r="M191" t="s">
        <v>1872</v>
      </c>
      <c r="Z191" s="23" t="s">
        <v>2168</v>
      </c>
      <c r="AA191" s="21" t="s">
        <v>2166</v>
      </c>
      <c r="AB191" s="21" t="s">
        <v>2166</v>
      </c>
      <c r="AI191">
        <f t="shared" si="22"/>
        <v>2</v>
      </c>
      <c r="AJ191">
        <f t="shared" si="23"/>
        <v>1</v>
      </c>
      <c r="AK191">
        <f t="shared" ca="1" si="24"/>
        <v>2</v>
      </c>
      <c r="AL191">
        <f t="shared" ca="1" si="25"/>
        <v>1</v>
      </c>
      <c r="AM191">
        <f t="shared" ca="1" si="26"/>
        <v>0</v>
      </c>
      <c r="AN191">
        <f t="shared" ca="1" si="27"/>
        <v>0</v>
      </c>
      <c r="AO191">
        <f t="shared" ca="1" si="28"/>
        <v>0</v>
      </c>
      <c r="AP191">
        <f t="shared" ca="1" si="29"/>
        <v>0</v>
      </c>
      <c r="AQ191">
        <f t="shared" ca="1" si="30"/>
        <v>1</v>
      </c>
      <c r="AR191">
        <f t="shared" ca="1" si="31"/>
        <v>0.22222222222222221</v>
      </c>
      <c r="AS191">
        <v>0</v>
      </c>
    </row>
    <row r="192" spans="1:45" x14ac:dyDescent="0.3">
      <c r="A192" s="1">
        <v>447</v>
      </c>
      <c r="C192" t="s">
        <v>393</v>
      </c>
      <c r="D192">
        <v>2016</v>
      </c>
      <c r="E192">
        <v>0</v>
      </c>
      <c r="F192">
        <v>4</v>
      </c>
      <c r="G192" t="s">
        <v>561</v>
      </c>
      <c r="H192" t="s">
        <v>728</v>
      </c>
      <c r="I192" t="s">
        <v>1047</v>
      </c>
      <c r="J192" t="s">
        <v>1317</v>
      </c>
      <c r="K192" t="s">
        <v>1541</v>
      </c>
      <c r="L192" t="s">
        <v>1724</v>
      </c>
      <c r="M192" t="s">
        <v>1873</v>
      </c>
      <c r="N192" t="s">
        <v>1967</v>
      </c>
      <c r="O192" t="s">
        <v>2027</v>
      </c>
      <c r="Z192" s="23" t="s">
        <v>2168</v>
      </c>
      <c r="AA192" s="23" t="s">
        <v>2168</v>
      </c>
      <c r="AB192" s="22" t="s">
        <v>2167</v>
      </c>
      <c r="AC192" s="21" t="s">
        <v>2166</v>
      </c>
      <c r="AI192">
        <f t="shared" si="22"/>
        <v>1</v>
      </c>
      <c r="AJ192">
        <f t="shared" si="23"/>
        <v>2</v>
      </c>
      <c r="AK192">
        <f t="shared" ca="1" si="24"/>
        <v>1</v>
      </c>
      <c r="AL192">
        <f t="shared" ca="1" si="25"/>
        <v>2</v>
      </c>
      <c r="AM192">
        <f t="shared" ca="1" si="26"/>
        <v>1</v>
      </c>
      <c r="AN192">
        <f t="shared" ca="1" si="27"/>
        <v>0</v>
      </c>
      <c r="AO192">
        <f t="shared" ca="1" si="28"/>
        <v>0</v>
      </c>
      <c r="AP192">
        <f t="shared" ca="1" si="29"/>
        <v>1</v>
      </c>
      <c r="AQ192">
        <f t="shared" ca="1" si="30"/>
        <v>1</v>
      </c>
      <c r="AR192">
        <f t="shared" ca="1" si="31"/>
        <v>0.25</v>
      </c>
      <c r="AS192">
        <v>0</v>
      </c>
    </row>
    <row r="193" spans="1:45" x14ac:dyDescent="0.3">
      <c r="A193" s="1">
        <v>448</v>
      </c>
      <c r="C193" t="s">
        <v>394</v>
      </c>
      <c r="D193">
        <v>2016</v>
      </c>
      <c r="E193">
        <v>0</v>
      </c>
      <c r="F193">
        <v>5</v>
      </c>
      <c r="G193" t="s">
        <v>561</v>
      </c>
      <c r="H193" t="s">
        <v>729</v>
      </c>
      <c r="I193" t="s">
        <v>1048</v>
      </c>
      <c r="J193" t="s">
        <v>1318</v>
      </c>
      <c r="K193" t="s">
        <v>1542</v>
      </c>
      <c r="L193" t="s">
        <v>1725</v>
      </c>
      <c r="M193" t="s">
        <v>1874</v>
      </c>
      <c r="N193" t="s">
        <v>1968</v>
      </c>
      <c r="O193" t="s">
        <v>2028</v>
      </c>
      <c r="P193" t="s">
        <v>2066</v>
      </c>
      <c r="Q193" t="s">
        <v>2091</v>
      </c>
      <c r="Z193" s="23" t="s">
        <v>2168</v>
      </c>
      <c r="AA193" s="22" t="s">
        <v>2167</v>
      </c>
      <c r="AB193" s="23" t="s">
        <v>2168</v>
      </c>
      <c r="AC193" s="23" t="s">
        <v>2168</v>
      </c>
      <c r="AD193" s="22" t="s">
        <v>2167</v>
      </c>
      <c r="AI193">
        <f t="shared" si="22"/>
        <v>0</v>
      </c>
      <c r="AJ193">
        <f t="shared" si="23"/>
        <v>3</v>
      </c>
      <c r="AK193">
        <f t="shared" ca="1" si="24"/>
        <v>0</v>
      </c>
      <c r="AL193">
        <f t="shared" ca="1" si="25"/>
        <v>3</v>
      </c>
      <c r="AM193">
        <f t="shared" ca="1" si="26"/>
        <v>2</v>
      </c>
      <c r="AN193">
        <f t="shared" ca="1" si="27"/>
        <v>0</v>
      </c>
      <c r="AO193">
        <f t="shared" ca="1" si="28"/>
        <v>0</v>
      </c>
      <c r="AP193">
        <f t="shared" ca="1" si="29"/>
        <v>1</v>
      </c>
      <c r="AQ193">
        <f t="shared" ca="1" si="30"/>
        <v>1</v>
      </c>
      <c r="AR193">
        <f t="shared" ca="1" si="31"/>
        <v>0</v>
      </c>
      <c r="AS193">
        <v>0</v>
      </c>
    </row>
    <row r="194" spans="1:45" x14ac:dyDescent="0.3">
      <c r="A194" s="1">
        <v>449</v>
      </c>
      <c r="C194" t="s">
        <v>395</v>
      </c>
      <c r="D194">
        <v>2016</v>
      </c>
      <c r="E194">
        <v>0</v>
      </c>
      <c r="F194">
        <v>4</v>
      </c>
      <c r="G194" t="s">
        <v>561</v>
      </c>
      <c r="H194" t="s">
        <v>730</v>
      </c>
      <c r="I194" t="s">
        <v>1049</v>
      </c>
      <c r="J194" t="s">
        <v>1319</v>
      </c>
      <c r="K194" t="s">
        <v>1543</v>
      </c>
      <c r="L194" t="s">
        <v>1726</v>
      </c>
      <c r="M194" t="s">
        <v>1875</v>
      </c>
      <c r="N194" t="s">
        <v>1969</v>
      </c>
      <c r="O194" t="s">
        <v>890</v>
      </c>
      <c r="Z194" s="23" t="s">
        <v>2168</v>
      </c>
      <c r="AA194" s="21" t="s">
        <v>2166</v>
      </c>
      <c r="AB194" s="23" t="s">
        <v>2168</v>
      </c>
      <c r="AC194" s="23" t="s">
        <v>2168</v>
      </c>
      <c r="AI194">
        <f t="shared" si="22"/>
        <v>1</v>
      </c>
      <c r="AJ194">
        <f t="shared" si="23"/>
        <v>3</v>
      </c>
      <c r="AK194">
        <f t="shared" ca="1" si="24"/>
        <v>1</v>
      </c>
      <c r="AL194">
        <f t="shared" ca="1" si="25"/>
        <v>3</v>
      </c>
      <c r="AM194">
        <f t="shared" ca="1" si="26"/>
        <v>0</v>
      </c>
      <c r="AN194">
        <f t="shared" ca="1" si="27"/>
        <v>0</v>
      </c>
      <c r="AO194">
        <f t="shared" ca="1" si="28"/>
        <v>0</v>
      </c>
      <c r="AP194">
        <f t="shared" ca="1" si="29"/>
        <v>0</v>
      </c>
      <c r="AQ194">
        <f t="shared" ca="1" si="30"/>
        <v>1</v>
      </c>
      <c r="AR194">
        <f t="shared" ca="1" si="31"/>
        <v>0.25</v>
      </c>
      <c r="AS194">
        <v>0</v>
      </c>
    </row>
    <row r="195" spans="1:45" x14ac:dyDescent="0.3">
      <c r="A195" s="1">
        <v>450</v>
      </c>
      <c r="C195" t="s">
        <v>396</v>
      </c>
      <c r="D195">
        <v>2016</v>
      </c>
      <c r="E195">
        <v>0</v>
      </c>
      <c r="F195">
        <v>1</v>
      </c>
      <c r="G195" t="s">
        <v>561</v>
      </c>
      <c r="H195" t="s">
        <v>731</v>
      </c>
      <c r="I195" t="s">
        <v>1050</v>
      </c>
      <c r="Z195" s="22" t="s">
        <v>2167</v>
      </c>
      <c r="AI195">
        <f t="shared" ref="AI195:AI258" si="33">COUNTIF(Z195:AH195,"f")</f>
        <v>0</v>
      </c>
      <c r="AJ195">
        <f t="shared" ref="AJ195:AJ258" si="34">COUNTIF(Z195:AI195,"m")</f>
        <v>0</v>
      </c>
      <c r="AK195">
        <f t="shared" ref="AK195:AK258" ca="1" si="35">CountCellsByColor(Z195:AH195,$Z$2)</f>
        <v>0</v>
      </c>
      <c r="AL195">
        <f t="shared" ref="AL195:AL258" ca="1" si="36">CountCellsByColor(Z195:AH195,$Z$4)</f>
        <v>0</v>
      </c>
      <c r="AM195">
        <f t="shared" ref="AM195:AM258" ca="1" si="37">CountCellsByColor(Z195:AH195,$Z$3)</f>
        <v>1</v>
      </c>
      <c r="AN195">
        <f t="shared" ref="AN195:AN258" ca="1" si="38">IF(AK195=F195,1,0)</f>
        <v>0</v>
      </c>
      <c r="AO195">
        <f t="shared" ref="AO195:AO258" ca="1" si="39">IF(AL195=F195,1,0)</f>
        <v>0</v>
      </c>
      <c r="AP195">
        <f t="shared" ref="AP195:AP258" ca="1" si="40">IF(AM195&gt;=1,1,0)</f>
        <v>1</v>
      </c>
      <c r="AQ195">
        <f t="shared" ref="AQ195:AQ258" ca="1" si="41">IF(AND(AN195=0, AO195=0),1,0)</f>
        <v>1</v>
      </c>
      <c r="AR195">
        <f t="shared" ref="AR195:AR258" ca="1" si="42">IF(AK195=1, 1/F195, IF(AK195 = 2, (1/F195)*(2/F195), IF(AK195 = 3, (1/F195)*(2/F195)*(3/F195), IF(AK195 = 4, (1/F195)*(2/F195)*(3/F195)*(4/F195),IF(AK195 = 5, (1/F195)*(2/F195)*(3/F195)*(4/F195)*(5/F195),IF(AK195 = 6, (1/F195)*(2/F195)*(3/F195)*(4/F195)*(5/F195)*(6/F195), 0))))))</f>
        <v>0</v>
      </c>
      <c r="AS195">
        <v>0</v>
      </c>
    </row>
    <row r="196" spans="1:45" x14ac:dyDescent="0.3">
      <c r="A196" s="1">
        <v>451</v>
      </c>
      <c r="C196" t="s">
        <v>397</v>
      </c>
      <c r="D196">
        <v>2016</v>
      </c>
      <c r="E196">
        <v>0</v>
      </c>
      <c r="F196">
        <v>3</v>
      </c>
      <c r="G196" t="s">
        <v>561</v>
      </c>
      <c r="H196" t="s">
        <v>732</v>
      </c>
      <c r="I196" t="s">
        <v>1051</v>
      </c>
      <c r="J196" t="s">
        <v>1295</v>
      </c>
      <c r="K196" t="s">
        <v>1521</v>
      </c>
      <c r="L196" t="s">
        <v>832</v>
      </c>
      <c r="M196" t="s">
        <v>1144</v>
      </c>
      <c r="Z196" s="22" t="s">
        <v>2167</v>
      </c>
      <c r="AA196" s="22" t="s">
        <v>2167</v>
      </c>
      <c r="AB196" s="22" t="s">
        <v>2167</v>
      </c>
      <c r="AI196">
        <f t="shared" si="33"/>
        <v>0</v>
      </c>
      <c r="AJ196">
        <f t="shared" si="34"/>
        <v>0</v>
      </c>
      <c r="AK196">
        <f t="shared" ca="1" si="35"/>
        <v>0</v>
      </c>
      <c r="AL196">
        <f t="shared" ca="1" si="36"/>
        <v>0</v>
      </c>
      <c r="AM196">
        <f t="shared" ca="1" si="37"/>
        <v>3</v>
      </c>
      <c r="AN196">
        <f t="shared" ca="1" si="38"/>
        <v>0</v>
      </c>
      <c r="AO196">
        <f t="shared" ca="1" si="39"/>
        <v>0</v>
      </c>
      <c r="AP196">
        <f t="shared" ca="1" si="40"/>
        <v>1</v>
      </c>
      <c r="AQ196">
        <f t="shared" ca="1" si="41"/>
        <v>1</v>
      </c>
      <c r="AR196">
        <f t="shared" ca="1" si="42"/>
        <v>0</v>
      </c>
      <c r="AS196">
        <v>0</v>
      </c>
    </row>
    <row r="197" spans="1:45" x14ac:dyDescent="0.3">
      <c r="A197" s="1">
        <v>452</v>
      </c>
      <c r="C197" t="s">
        <v>398</v>
      </c>
      <c r="D197">
        <v>2016</v>
      </c>
      <c r="E197">
        <v>0</v>
      </c>
      <c r="F197">
        <v>2</v>
      </c>
      <c r="G197" t="s">
        <v>561</v>
      </c>
      <c r="H197" t="s">
        <v>733</v>
      </c>
      <c r="I197" t="s">
        <v>1052</v>
      </c>
      <c r="J197" t="s">
        <v>1320</v>
      </c>
      <c r="K197" t="s">
        <v>1544</v>
      </c>
      <c r="Z197" s="22" t="s">
        <v>2167</v>
      </c>
      <c r="AA197" s="22" t="s">
        <v>2167</v>
      </c>
      <c r="AI197">
        <f t="shared" si="33"/>
        <v>0</v>
      </c>
      <c r="AJ197">
        <f t="shared" si="34"/>
        <v>0</v>
      </c>
      <c r="AK197">
        <f t="shared" ca="1" si="35"/>
        <v>0</v>
      </c>
      <c r="AL197">
        <f t="shared" ca="1" si="36"/>
        <v>0</v>
      </c>
      <c r="AM197">
        <f t="shared" ca="1" si="37"/>
        <v>2</v>
      </c>
      <c r="AN197">
        <f t="shared" ca="1" si="38"/>
        <v>0</v>
      </c>
      <c r="AO197">
        <f t="shared" ca="1" si="39"/>
        <v>0</v>
      </c>
      <c r="AP197">
        <f t="shared" ca="1" si="40"/>
        <v>1</v>
      </c>
      <c r="AQ197">
        <f t="shared" ca="1" si="41"/>
        <v>1</v>
      </c>
      <c r="AR197">
        <f t="shared" ca="1" si="42"/>
        <v>0</v>
      </c>
      <c r="AS197">
        <v>0</v>
      </c>
    </row>
    <row r="198" spans="1:45" x14ac:dyDescent="0.3">
      <c r="A198" s="1">
        <v>453</v>
      </c>
      <c r="C198" t="s">
        <v>399</v>
      </c>
      <c r="D198">
        <v>2016</v>
      </c>
      <c r="E198">
        <v>0</v>
      </c>
      <c r="F198">
        <v>2</v>
      </c>
      <c r="G198" t="s">
        <v>561</v>
      </c>
      <c r="H198" t="s">
        <v>734</v>
      </c>
      <c r="I198" t="s">
        <v>1053</v>
      </c>
      <c r="J198" t="s">
        <v>1321</v>
      </c>
      <c r="K198" t="s">
        <v>1545</v>
      </c>
      <c r="Z198" s="21" t="s">
        <v>2166</v>
      </c>
      <c r="AA198" s="23" t="s">
        <v>2168</v>
      </c>
      <c r="AI198">
        <f t="shared" si="33"/>
        <v>1</v>
      </c>
      <c r="AJ198">
        <f t="shared" si="34"/>
        <v>1</v>
      </c>
      <c r="AK198">
        <f t="shared" ca="1" si="35"/>
        <v>1</v>
      </c>
      <c r="AL198">
        <f t="shared" ca="1" si="36"/>
        <v>1</v>
      </c>
      <c r="AM198">
        <f t="shared" ca="1" si="37"/>
        <v>0</v>
      </c>
      <c r="AN198">
        <f t="shared" ca="1" si="38"/>
        <v>0</v>
      </c>
      <c r="AO198">
        <f t="shared" ca="1" si="39"/>
        <v>0</v>
      </c>
      <c r="AP198">
        <f t="shared" ca="1" si="40"/>
        <v>0</v>
      </c>
      <c r="AQ198">
        <f t="shared" ca="1" si="41"/>
        <v>1</v>
      </c>
      <c r="AR198">
        <f t="shared" ca="1" si="42"/>
        <v>0.5</v>
      </c>
      <c r="AS198">
        <v>0</v>
      </c>
    </row>
    <row r="199" spans="1:45" x14ac:dyDescent="0.3">
      <c r="A199" s="1">
        <v>454</v>
      </c>
      <c r="C199" t="s">
        <v>400</v>
      </c>
      <c r="D199">
        <v>2016</v>
      </c>
      <c r="E199">
        <v>0</v>
      </c>
      <c r="F199">
        <v>7</v>
      </c>
      <c r="G199" t="s">
        <v>561</v>
      </c>
      <c r="H199" t="s">
        <v>735</v>
      </c>
      <c r="I199" t="s">
        <v>1054</v>
      </c>
      <c r="J199" t="s">
        <v>1322</v>
      </c>
      <c r="K199" t="s">
        <v>1546</v>
      </c>
      <c r="L199" t="s">
        <v>1727</v>
      </c>
      <c r="M199" t="s">
        <v>1876</v>
      </c>
      <c r="N199" t="s">
        <v>1970</v>
      </c>
      <c r="O199" t="s">
        <v>2029</v>
      </c>
      <c r="P199" t="s">
        <v>2067</v>
      </c>
      <c r="Q199" t="s">
        <v>2092</v>
      </c>
      <c r="R199" t="s">
        <v>2112</v>
      </c>
      <c r="S199" t="s">
        <v>2127</v>
      </c>
      <c r="T199" t="s">
        <v>2138</v>
      </c>
      <c r="U199" t="s">
        <v>2145</v>
      </c>
      <c r="Z199" s="22" t="s">
        <v>2167</v>
      </c>
      <c r="AA199" s="22" t="s">
        <v>2167</v>
      </c>
      <c r="AB199" s="22" t="s">
        <v>2167</v>
      </c>
      <c r="AC199" s="22" t="s">
        <v>2167</v>
      </c>
      <c r="AD199" s="22" t="s">
        <v>2167</v>
      </c>
      <c r="AE199" s="22" t="s">
        <v>2167</v>
      </c>
      <c r="AF199" s="21" t="s">
        <v>2166</v>
      </c>
      <c r="AI199">
        <f t="shared" si="33"/>
        <v>1</v>
      </c>
      <c r="AJ199">
        <f t="shared" si="34"/>
        <v>0</v>
      </c>
      <c r="AK199">
        <f t="shared" ca="1" si="35"/>
        <v>1</v>
      </c>
      <c r="AL199">
        <f t="shared" ca="1" si="36"/>
        <v>0</v>
      </c>
      <c r="AM199">
        <f t="shared" ca="1" si="37"/>
        <v>6</v>
      </c>
      <c r="AN199">
        <f t="shared" ca="1" si="38"/>
        <v>0</v>
      </c>
      <c r="AO199">
        <f t="shared" ca="1" si="39"/>
        <v>0</v>
      </c>
      <c r="AP199">
        <f t="shared" ca="1" si="40"/>
        <v>1</v>
      </c>
      <c r="AQ199">
        <f t="shared" ca="1" si="41"/>
        <v>1</v>
      </c>
      <c r="AR199">
        <f t="shared" ca="1" si="42"/>
        <v>0.14285714285714285</v>
      </c>
      <c r="AS199">
        <v>0</v>
      </c>
    </row>
    <row r="200" spans="1:45" x14ac:dyDescent="0.3">
      <c r="A200" s="1">
        <v>455</v>
      </c>
      <c r="B200" s="2" t="s">
        <v>189</v>
      </c>
      <c r="C200" t="s">
        <v>401</v>
      </c>
      <c r="D200">
        <v>2016</v>
      </c>
      <c r="E200">
        <v>0</v>
      </c>
      <c r="F200">
        <v>7</v>
      </c>
      <c r="G200" t="s">
        <v>561</v>
      </c>
      <c r="H200" t="s">
        <v>736</v>
      </c>
      <c r="I200" t="s">
        <v>1055</v>
      </c>
      <c r="J200" t="s">
        <v>1323</v>
      </c>
      <c r="K200" t="s">
        <v>1547</v>
      </c>
      <c r="L200" t="s">
        <v>1728</v>
      </c>
      <c r="M200" t="s">
        <v>1877</v>
      </c>
      <c r="N200" t="s">
        <v>1971</v>
      </c>
      <c r="O200" t="s">
        <v>2030</v>
      </c>
      <c r="P200" t="s">
        <v>2068</v>
      </c>
      <c r="Q200" t="s">
        <v>2093</v>
      </c>
      <c r="R200" t="s">
        <v>2113</v>
      </c>
      <c r="S200" t="s">
        <v>2128</v>
      </c>
      <c r="T200" t="s">
        <v>2139</v>
      </c>
      <c r="U200" t="s">
        <v>2146</v>
      </c>
      <c r="Z200" s="23" t="s">
        <v>2168</v>
      </c>
      <c r="AA200" s="23" t="s">
        <v>2168</v>
      </c>
      <c r="AB200" s="22" t="s">
        <v>2167</v>
      </c>
      <c r="AC200" s="22" t="s">
        <v>2167</v>
      </c>
      <c r="AD200" s="23" t="s">
        <v>2168</v>
      </c>
      <c r="AE200" s="22" t="s">
        <v>2167</v>
      </c>
      <c r="AF200" s="23" t="s">
        <v>2168</v>
      </c>
      <c r="AI200">
        <f t="shared" si="33"/>
        <v>0</v>
      </c>
      <c r="AJ200">
        <f t="shared" si="34"/>
        <v>4</v>
      </c>
      <c r="AK200">
        <f t="shared" ca="1" si="35"/>
        <v>0</v>
      </c>
      <c r="AL200">
        <f t="shared" ca="1" si="36"/>
        <v>4</v>
      </c>
      <c r="AM200">
        <f t="shared" ca="1" si="37"/>
        <v>3</v>
      </c>
      <c r="AN200">
        <f t="shared" ca="1" si="38"/>
        <v>0</v>
      </c>
      <c r="AO200">
        <f t="shared" ca="1" si="39"/>
        <v>0</v>
      </c>
      <c r="AP200">
        <f t="shared" ca="1" si="40"/>
        <v>1</v>
      </c>
      <c r="AQ200">
        <f t="shared" ca="1" si="41"/>
        <v>1</v>
      </c>
      <c r="AR200">
        <f t="shared" ca="1" si="42"/>
        <v>0</v>
      </c>
      <c r="AS200">
        <v>0</v>
      </c>
    </row>
    <row r="201" spans="1:45" x14ac:dyDescent="0.3">
      <c r="A201" s="1">
        <v>456</v>
      </c>
      <c r="B201" s="2" t="s">
        <v>190</v>
      </c>
      <c r="C201" t="s">
        <v>402</v>
      </c>
      <c r="D201">
        <v>2016</v>
      </c>
      <c r="E201">
        <v>0</v>
      </c>
      <c r="F201">
        <v>1</v>
      </c>
      <c r="G201" t="s">
        <v>561</v>
      </c>
      <c r="H201" t="s">
        <v>737</v>
      </c>
      <c r="I201" t="s">
        <v>1056</v>
      </c>
      <c r="Z201" s="21" t="s">
        <v>2166</v>
      </c>
      <c r="AI201">
        <f t="shared" si="33"/>
        <v>1</v>
      </c>
      <c r="AJ201">
        <f t="shared" si="34"/>
        <v>0</v>
      </c>
      <c r="AK201">
        <f t="shared" ca="1" si="35"/>
        <v>1</v>
      </c>
      <c r="AL201">
        <f t="shared" ca="1" si="36"/>
        <v>0</v>
      </c>
      <c r="AM201">
        <f t="shared" ca="1" si="37"/>
        <v>0</v>
      </c>
      <c r="AN201">
        <f t="shared" ca="1" si="38"/>
        <v>1</v>
      </c>
      <c r="AO201">
        <f t="shared" ca="1" si="39"/>
        <v>0</v>
      </c>
      <c r="AP201">
        <f t="shared" ca="1" si="40"/>
        <v>0</v>
      </c>
      <c r="AQ201">
        <f t="shared" ca="1" si="41"/>
        <v>0</v>
      </c>
      <c r="AR201">
        <f t="shared" ca="1" si="42"/>
        <v>1</v>
      </c>
      <c r="AS201">
        <v>0</v>
      </c>
    </row>
    <row r="202" spans="1:45" x14ac:dyDescent="0.3">
      <c r="A202" s="1">
        <v>457</v>
      </c>
      <c r="C202" t="s">
        <v>403</v>
      </c>
      <c r="D202">
        <v>2016</v>
      </c>
      <c r="E202">
        <v>0</v>
      </c>
      <c r="F202">
        <v>1</v>
      </c>
      <c r="G202" t="s">
        <v>561</v>
      </c>
      <c r="H202" t="s">
        <v>738</v>
      </c>
      <c r="I202" t="s">
        <v>1057</v>
      </c>
      <c r="Z202" s="21" t="s">
        <v>2166</v>
      </c>
      <c r="AI202">
        <f t="shared" si="33"/>
        <v>1</v>
      </c>
      <c r="AJ202">
        <f t="shared" si="34"/>
        <v>0</v>
      </c>
      <c r="AK202">
        <f t="shared" ca="1" si="35"/>
        <v>1</v>
      </c>
      <c r="AL202">
        <f t="shared" ca="1" si="36"/>
        <v>0</v>
      </c>
      <c r="AM202">
        <f t="shared" ca="1" si="37"/>
        <v>0</v>
      </c>
      <c r="AN202">
        <f t="shared" ca="1" si="38"/>
        <v>1</v>
      </c>
      <c r="AO202">
        <f t="shared" ca="1" si="39"/>
        <v>0</v>
      </c>
      <c r="AP202">
        <f t="shared" ca="1" si="40"/>
        <v>0</v>
      </c>
      <c r="AQ202">
        <f t="shared" ca="1" si="41"/>
        <v>0</v>
      </c>
      <c r="AR202">
        <f t="shared" ca="1" si="42"/>
        <v>1</v>
      </c>
      <c r="AS202">
        <v>0</v>
      </c>
    </row>
    <row r="203" spans="1:45" x14ac:dyDescent="0.3">
      <c r="A203" s="1">
        <v>458</v>
      </c>
      <c r="C203" t="s">
        <v>404</v>
      </c>
      <c r="D203">
        <v>2016</v>
      </c>
      <c r="E203">
        <v>0</v>
      </c>
      <c r="F203">
        <v>2</v>
      </c>
      <c r="G203" t="s">
        <v>561</v>
      </c>
      <c r="H203" t="s">
        <v>739</v>
      </c>
      <c r="I203" t="s">
        <v>1032</v>
      </c>
      <c r="J203" t="s">
        <v>1302</v>
      </c>
      <c r="K203" t="s">
        <v>1527</v>
      </c>
      <c r="Z203" s="21" t="s">
        <v>2166</v>
      </c>
      <c r="AA203" s="23" t="s">
        <v>2168</v>
      </c>
      <c r="AI203">
        <f t="shared" si="33"/>
        <v>1</v>
      </c>
      <c r="AJ203">
        <f t="shared" si="34"/>
        <v>1</v>
      </c>
      <c r="AK203">
        <f t="shared" ca="1" si="35"/>
        <v>1</v>
      </c>
      <c r="AL203">
        <f t="shared" ca="1" si="36"/>
        <v>1</v>
      </c>
      <c r="AM203">
        <f t="shared" ca="1" si="37"/>
        <v>0</v>
      </c>
      <c r="AN203">
        <f t="shared" ca="1" si="38"/>
        <v>0</v>
      </c>
      <c r="AO203">
        <f t="shared" ca="1" si="39"/>
        <v>0</v>
      </c>
      <c r="AP203">
        <f t="shared" ca="1" si="40"/>
        <v>0</v>
      </c>
      <c r="AQ203">
        <f t="shared" ca="1" si="41"/>
        <v>1</v>
      </c>
      <c r="AR203">
        <f t="shared" ca="1" si="42"/>
        <v>0.5</v>
      </c>
      <c r="AS203">
        <v>0</v>
      </c>
    </row>
    <row r="204" spans="1:45" x14ac:dyDescent="0.3">
      <c r="A204" s="1">
        <v>459</v>
      </c>
      <c r="C204" t="s">
        <v>405</v>
      </c>
      <c r="D204">
        <v>2016</v>
      </c>
      <c r="E204">
        <v>0</v>
      </c>
      <c r="F204">
        <v>2</v>
      </c>
      <c r="G204" t="s">
        <v>561</v>
      </c>
      <c r="H204" t="s">
        <v>740</v>
      </c>
      <c r="I204" t="s">
        <v>1058</v>
      </c>
      <c r="J204" t="s">
        <v>1324</v>
      </c>
      <c r="K204" t="s">
        <v>1548</v>
      </c>
      <c r="Z204" s="21" t="s">
        <v>2166</v>
      </c>
      <c r="AA204" s="22" t="s">
        <v>2167</v>
      </c>
      <c r="AI204">
        <f t="shared" si="33"/>
        <v>1</v>
      </c>
      <c r="AJ204">
        <f t="shared" si="34"/>
        <v>0</v>
      </c>
      <c r="AK204">
        <f t="shared" ca="1" si="35"/>
        <v>1</v>
      </c>
      <c r="AL204">
        <f t="shared" ca="1" si="36"/>
        <v>0</v>
      </c>
      <c r="AM204">
        <f t="shared" ca="1" si="37"/>
        <v>1</v>
      </c>
      <c r="AN204">
        <f t="shared" ca="1" si="38"/>
        <v>0</v>
      </c>
      <c r="AO204">
        <f t="shared" ca="1" si="39"/>
        <v>0</v>
      </c>
      <c r="AP204">
        <f t="shared" ca="1" si="40"/>
        <v>1</v>
      </c>
      <c r="AQ204">
        <f t="shared" ca="1" si="41"/>
        <v>1</v>
      </c>
      <c r="AR204">
        <f t="shared" ca="1" si="42"/>
        <v>0.5</v>
      </c>
      <c r="AS204">
        <v>0</v>
      </c>
    </row>
    <row r="205" spans="1:45" x14ac:dyDescent="0.3">
      <c r="A205" s="1">
        <v>460</v>
      </c>
      <c r="C205" t="s">
        <v>406</v>
      </c>
      <c r="D205">
        <v>2017</v>
      </c>
      <c r="E205">
        <v>0</v>
      </c>
      <c r="F205">
        <v>2</v>
      </c>
      <c r="G205" t="s">
        <v>561</v>
      </c>
      <c r="H205" t="s">
        <v>741</v>
      </c>
      <c r="I205" t="s">
        <v>1059</v>
      </c>
      <c r="J205" t="s">
        <v>1325</v>
      </c>
      <c r="K205" t="s">
        <v>1549</v>
      </c>
      <c r="Z205" s="21" t="s">
        <v>2166</v>
      </c>
      <c r="AA205" s="21" t="s">
        <v>2166</v>
      </c>
      <c r="AI205">
        <f t="shared" si="33"/>
        <v>2</v>
      </c>
      <c r="AJ205">
        <f t="shared" si="34"/>
        <v>0</v>
      </c>
      <c r="AK205">
        <f t="shared" ca="1" si="35"/>
        <v>2</v>
      </c>
      <c r="AL205">
        <f t="shared" ca="1" si="36"/>
        <v>0</v>
      </c>
      <c r="AM205">
        <f t="shared" ca="1" si="37"/>
        <v>0</v>
      </c>
      <c r="AN205">
        <f t="shared" ca="1" si="38"/>
        <v>1</v>
      </c>
      <c r="AO205">
        <f t="shared" ca="1" si="39"/>
        <v>0</v>
      </c>
      <c r="AP205">
        <f t="shared" ca="1" si="40"/>
        <v>0</v>
      </c>
      <c r="AQ205">
        <f t="shared" ca="1" si="41"/>
        <v>0</v>
      </c>
      <c r="AR205">
        <f t="shared" ca="1" si="42"/>
        <v>0.5</v>
      </c>
      <c r="AS205">
        <v>0</v>
      </c>
    </row>
    <row r="206" spans="1:45" x14ac:dyDescent="0.3">
      <c r="A206" s="1">
        <v>461</v>
      </c>
      <c r="C206" t="s">
        <v>407</v>
      </c>
      <c r="D206">
        <v>2017</v>
      </c>
      <c r="E206">
        <v>0</v>
      </c>
      <c r="F206">
        <v>3</v>
      </c>
      <c r="G206" t="s">
        <v>561</v>
      </c>
      <c r="H206" t="s">
        <v>742</v>
      </c>
      <c r="I206" t="s">
        <v>1060</v>
      </c>
      <c r="J206" t="s">
        <v>1326</v>
      </c>
      <c r="K206" t="s">
        <v>1027</v>
      </c>
      <c r="L206" t="s">
        <v>1729</v>
      </c>
      <c r="M206" t="s">
        <v>1878</v>
      </c>
      <c r="Z206" s="23" t="s">
        <v>2168</v>
      </c>
      <c r="AA206" s="22" t="s">
        <v>2167</v>
      </c>
      <c r="AB206" s="22" t="s">
        <v>2167</v>
      </c>
      <c r="AI206">
        <f t="shared" si="33"/>
        <v>0</v>
      </c>
      <c r="AJ206">
        <f t="shared" si="34"/>
        <v>1</v>
      </c>
      <c r="AK206">
        <f t="shared" ca="1" si="35"/>
        <v>0</v>
      </c>
      <c r="AL206">
        <f t="shared" ca="1" si="36"/>
        <v>1</v>
      </c>
      <c r="AM206">
        <f t="shared" ca="1" si="37"/>
        <v>2</v>
      </c>
      <c r="AN206">
        <f t="shared" ca="1" si="38"/>
        <v>0</v>
      </c>
      <c r="AO206">
        <f t="shared" ca="1" si="39"/>
        <v>0</v>
      </c>
      <c r="AP206">
        <f t="shared" ca="1" si="40"/>
        <v>1</v>
      </c>
      <c r="AQ206">
        <f t="shared" ca="1" si="41"/>
        <v>1</v>
      </c>
      <c r="AR206">
        <f t="shared" ca="1" si="42"/>
        <v>0</v>
      </c>
      <c r="AS206">
        <v>0</v>
      </c>
    </row>
    <row r="207" spans="1:45" x14ac:dyDescent="0.3">
      <c r="A207" s="1">
        <v>462</v>
      </c>
      <c r="C207" t="s">
        <v>408</v>
      </c>
      <c r="D207">
        <v>2017</v>
      </c>
      <c r="E207">
        <v>0</v>
      </c>
      <c r="F207">
        <v>4</v>
      </c>
      <c r="G207" t="s">
        <v>561</v>
      </c>
      <c r="H207" t="s">
        <v>743</v>
      </c>
      <c r="I207" t="s">
        <v>1061</v>
      </c>
      <c r="J207" t="s">
        <v>1327</v>
      </c>
      <c r="K207" t="s">
        <v>1550</v>
      </c>
      <c r="L207" t="s">
        <v>1730</v>
      </c>
      <c r="M207" t="s">
        <v>1879</v>
      </c>
      <c r="N207" t="s">
        <v>1972</v>
      </c>
      <c r="O207" t="s">
        <v>2031</v>
      </c>
      <c r="Z207" s="22" t="s">
        <v>2167</v>
      </c>
      <c r="AA207" s="22" t="s">
        <v>2167</v>
      </c>
      <c r="AB207" s="22" t="s">
        <v>2167</v>
      </c>
      <c r="AC207" s="22" t="s">
        <v>2167</v>
      </c>
      <c r="AI207">
        <f t="shared" si="33"/>
        <v>0</v>
      </c>
      <c r="AJ207">
        <f t="shared" si="34"/>
        <v>0</v>
      </c>
      <c r="AK207">
        <f t="shared" ca="1" si="35"/>
        <v>0</v>
      </c>
      <c r="AL207">
        <f t="shared" ca="1" si="36"/>
        <v>0</v>
      </c>
      <c r="AM207">
        <f t="shared" ca="1" si="37"/>
        <v>4</v>
      </c>
      <c r="AN207">
        <f t="shared" ca="1" si="38"/>
        <v>0</v>
      </c>
      <c r="AO207">
        <f t="shared" ca="1" si="39"/>
        <v>0</v>
      </c>
      <c r="AP207">
        <f t="shared" ca="1" si="40"/>
        <v>1</v>
      </c>
      <c r="AQ207">
        <f t="shared" ca="1" si="41"/>
        <v>1</v>
      </c>
      <c r="AR207">
        <f t="shared" ca="1" si="42"/>
        <v>0</v>
      </c>
      <c r="AS207">
        <v>0</v>
      </c>
    </row>
    <row r="208" spans="1:45" x14ac:dyDescent="0.3">
      <c r="A208" s="1">
        <v>463</v>
      </c>
      <c r="C208" t="s">
        <v>409</v>
      </c>
      <c r="D208">
        <v>2017</v>
      </c>
      <c r="E208">
        <v>0</v>
      </c>
      <c r="F208">
        <v>3</v>
      </c>
      <c r="G208" t="s">
        <v>561</v>
      </c>
      <c r="H208" t="s">
        <v>744</v>
      </c>
      <c r="I208" t="s">
        <v>1062</v>
      </c>
      <c r="J208" t="s">
        <v>1328</v>
      </c>
      <c r="K208" t="s">
        <v>1551</v>
      </c>
      <c r="L208" t="s">
        <v>1731</v>
      </c>
      <c r="M208" t="s">
        <v>1880</v>
      </c>
      <c r="Z208" s="22" t="s">
        <v>2167</v>
      </c>
      <c r="AA208" s="22" t="s">
        <v>2167</v>
      </c>
      <c r="AB208" s="22" t="s">
        <v>2167</v>
      </c>
      <c r="AI208">
        <f t="shared" si="33"/>
        <v>0</v>
      </c>
      <c r="AJ208">
        <f t="shared" si="34"/>
        <v>0</v>
      </c>
      <c r="AK208">
        <f t="shared" ca="1" si="35"/>
        <v>0</v>
      </c>
      <c r="AL208">
        <f t="shared" ca="1" si="36"/>
        <v>0</v>
      </c>
      <c r="AM208">
        <f t="shared" ca="1" si="37"/>
        <v>3</v>
      </c>
      <c r="AN208">
        <f t="shared" ca="1" si="38"/>
        <v>0</v>
      </c>
      <c r="AO208">
        <f t="shared" ca="1" si="39"/>
        <v>0</v>
      </c>
      <c r="AP208">
        <f t="shared" ca="1" si="40"/>
        <v>1</v>
      </c>
      <c r="AQ208">
        <f t="shared" ca="1" si="41"/>
        <v>1</v>
      </c>
      <c r="AR208">
        <f t="shared" ca="1" si="42"/>
        <v>0</v>
      </c>
      <c r="AS208">
        <v>0</v>
      </c>
    </row>
    <row r="209" spans="1:45" x14ac:dyDescent="0.3">
      <c r="A209" s="1">
        <v>464</v>
      </c>
      <c r="C209" t="s">
        <v>410</v>
      </c>
      <c r="D209">
        <v>2017</v>
      </c>
      <c r="E209">
        <v>0</v>
      </c>
      <c r="F209">
        <v>1</v>
      </c>
      <c r="G209" t="s">
        <v>561</v>
      </c>
      <c r="H209" t="s">
        <v>745</v>
      </c>
      <c r="I209" t="s">
        <v>1063</v>
      </c>
      <c r="Z209" s="22" t="s">
        <v>2167</v>
      </c>
      <c r="AI209">
        <f t="shared" si="33"/>
        <v>0</v>
      </c>
      <c r="AJ209">
        <f t="shared" si="34"/>
        <v>0</v>
      </c>
      <c r="AK209">
        <f t="shared" ca="1" si="35"/>
        <v>0</v>
      </c>
      <c r="AL209">
        <f t="shared" ca="1" si="36"/>
        <v>0</v>
      </c>
      <c r="AM209">
        <f t="shared" ca="1" si="37"/>
        <v>1</v>
      </c>
      <c r="AN209">
        <f t="shared" ca="1" si="38"/>
        <v>0</v>
      </c>
      <c r="AO209">
        <f t="shared" ca="1" si="39"/>
        <v>0</v>
      </c>
      <c r="AP209">
        <f t="shared" ca="1" si="40"/>
        <v>1</v>
      </c>
      <c r="AQ209">
        <f t="shared" ca="1" si="41"/>
        <v>1</v>
      </c>
      <c r="AR209">
        <f t="shared" ca="1" si="42"/>
        <v>0</v>
      </c>
      <c r="AS209">
        <v>0</v>
      </c>
    </row>
    <row r="210" spans="1:45" x14ac:dyDescent="0.3">
      <c r="A210" s="1">
        <v>465</v>
      </c>
      <c r="C210" t="s">
        <v>411</v>
      </c>
      <c r="D210">
        <v>2017</v>
      </c>
      <c r="E210">
        <v>0</v>
      </c>
      <c r="F210">
        <v>1</v>
      </c>
      <c r="G210" t="s">
        <v>561</v>
      </c>
      <c r="H210" t="s">
        <v>746</v>
      </c>
      <c r="I210" t="s">
        <v>1064</v>
      </c>
      <c r="Z210" s="22" t="s">
        <v>2167</v>
      </c>
      <c r="AI210">
        <f t="shared" si="33"/>
        <v>0</v>
      </c>
      <c r="AJ210">
        <f t="shared" si="34"/>
        <v>0</v>
      </c>
      <c r="AK210">
        <f t="shared" ca="1" si="35"/>
        <v>0</v>
      </c>
      <c r="AL210">
        <f t="shared" ca="1" si="36"/>
        <v>0</v>
      </c>
      <c r="AM210">
        <f t="shared" ca="1" si="37"/>
        <v>1</v>
      </c>
      <c r="AN210">
        <f t="shared" ca="1" si="38"/>
        <v>0</v>
      </c>
      <c r="AO210">
        <f t="shared" ca="1" si="39"/>
        <v>0</v>
      </c>
      <c r="AP210">
        <f t="shared" ca="1" si="40"/>
        <v>1</v>
      </c>
      <c r="AQ210">
        <f t="shared" ca="1" si="41"/>
        <v>1</v>
      </c>
      <c r="AR210">
        <f t="shared" ca="1" si="42"/>
        <v>0</v>
      </c>
      <c r="AS210">
        <v>0</v>
      </c>
    </row>
    <row r="211" spans="1:45" x14ac:dyDescent="0.3">
      <c r="A211" s="1">
        <v>466</v>
      </c>
      <c r="C211" t="s">
        <v>412</v>
      </c>
      <c r="D211">
        <v>2017</v>
      </c>
      <c r="E211">
        <v>0</v>
      </c>
      <c r="F211">
        <v>4</v>
      </c>
      <c r="G211" t="s">
        <v>561</v>
      </c>
      <c r="H211" t="s">
        <v>747</v>
      </c>
      <c r="I211" t="s">
        <v>1065</v>
      </c>
      <c r="J211" t="s">
        <v>1329</v>
      </c>
      <c r="K211" t="s">
        <v>1552</v>
      </c>
      <c r="L211" t="s">
        <v>1732</v>
      </c>
      <c r="M211" t="s">
        <v>1881</v>
      </c>
      <c r="N211" t="s">
        <v>1973</v>
      </c>
      <c r="O211" t="s">
        <v>2032</v>
      </c>
      <c r="Z211" s="22" t="s">
        <v>2167</v>
      </c>
      <c r="AA211" s="22" t="s">
        <v>2167</v>
      </c>
      <c r="AB211" s="22" t="s">
        <v>2167</v>
      </c>
      <c r="AC211" s="22" t="s">
        <v>2167</v>
      </c>
      <c r="AI211">
        <f t="shared" si="33"/>
        <v>0</v>
      </c>
      <c r="AJ211">
        <f t="shared" si="34"/>
        <v>0</v>
      </c>
      <c r="AK211">
        <f t="shared" ca="1" si="35"/>
        <v>0</v>
      </c>
      <c r="AL211">
        <f t="shared" ca="1" si="36"/>
        <v>0</v>
      </c>
      <c r="AM211">
        <f t="shared" ca="1" si="37"/>
        <v>4</v>
      </c>
      <c r="AN211">
        <f t="shared" ca="1" si="38"/>
        <v>0</v>
      </c>
      <c r="AO211">
        <f t="shared" ca="1" si="39"/>
        <v>0</v>
      </c>
      <c r="AP211">
        <f t="shared" ca="1" si="40"/>
        <v>1</v>
      </c>
      <c r="AQ211">
        <f t="shared" ca="1" si="41"/>
        <v>1</v>
      </c>
      <c r="AR211">
        <f t="shared" ca="1" si="42"/>
        <v>0</v>
      </c>
      <c r="AS211">
        <v>0</v>
      </c>
    </row>
    <row r="212" spans="1:45" x14ac:dyDescent="0.3">
      <c r="A212" s="1">
        <v>467</v>
      </c>
      <c r="C212" t="s">
        <v>413</v>
      </c>
      <c r="D212">
        <v>2017</v>
      </c>
      <c r="E212">
        <v>0</v>
      </c>
      <c r="F212">
        <v>3</v>
      </c>
      <c r="G212" t="s">
        <v>561</v>
      </c>
      <c r="H212" t="s">
        <v>748</v>
      </c>
      <c r="I212" t="s">
        <v>1066</v>
      </c>
      <c r="J212" t="s">
        <v>1330</v>
      </c>
      <c r="K212" t="s">
        <v>1553</v>
      </c>
      <c r="L212" t="s">
        <v>1733</v>
      </c>
      <c r="M212" t="s">
        <v>1882</v>
      </c>
      <c r="Z212" s="22" t="s">
        <v>2167</v>
      </c>
      <c r="AA212" s="22" t="s">
        <v>2167</v>
      </c>
      <c r="AB212" s="22" t="s">
        <v>2167</v>
      </c>
      <c r="AI212">
        <f t="shared" si="33"/>
        <v>0</v>
      </c>
      <c r="AJ212">
        <f t="shared" si="34"/>
        <v>0</v>
      </c>
      <c r="AK212">
        <f t="shared" ca="1" si="35"/>
        <v>0</v>
      </c>
      <c r="AL212">
        <f t="shared" ca="1" si="36"/>
        <v>0</v>
      </c>
      <c r="AM212">
        <f t="shared" ca="1" si="37"/>
        <v>3</v>
      </c>
      <c r="AN212">
        <f t="shared" ca="1" si="38"/>
        <v>0</v>
      </c>
      <c r="AO212">
        <f t="shared" ca="1" si="39"/>
        <v>0</v>
      </c>
      <c r="AP212">
        <f t="shared" ca="1" si="40"/>
        <v>1</v>
      </c>
      <c r="AQ212">
        <f t="shared" ca="1" si="41"/>
        <v>1</v>
      </c>
      <c r="AR212">
        <f t="shared" ca="1" si="42"/>
        <v>0</v>
      </c>
      <c r="AS212">
        <v>0</v>
      </c>
    </row>
    <row r="213" spans="1:45" x14ac:dyDescent="0.3">
      <c r="A213" s="1">
        <v>468</v>
      </c>
      <c r="C213" t="s">
        <v>414</v>
      </c>
      <c r="D213">
        <v>2017</v>
      </c>
      <c r="E213">
        <v>0</v>
      </c>
      <c r="F213">
        <v>2</v>
      </c>
      <c r="G213" t="s">
        <v>561</v>
      </c>
      <c r="H213" t="s">
        <v>749</v>
      </c>
      <c r="I213" t="s">
        <v>1067</v>
      </c>
      <c r="J213" t="s">
        <v>1331</v>
      </c>
      <c r="K213" t="s">
        <v>1554</v>
      </c>
      <c r="Z213" s="22" t="s">
        <v>2167</v>
      </c>
      <c r="AA213" s="23" t="s">
        <v>2168</v>
      </c>
      <c r="AI213">
        <f t="shared" si="33"/>
        <v>0</v>
      </c>
      <c r="AJ213">
        <f t="shared" si="34"/>
        <v>1</v>
      </c>
      <c r="AK213">
        <f t="shared" ca="1" si="35"/>
        <v>0</v>
      </c>
      <c r="AL213">
        <f t="shared" ca="1" si="36"/>
        <v>1</v>
      </c>
      <c r="AM213">
        <f t="shared" ca="1" si="37"/>
        <v>1</v>
      </c>
      <c r="AN213">
        <f t="shared" ca="1" si="38"/>
        <v>0</v>
      </c>
      <c r="AO213">
        <f t="shared" ca="1" si="39"/>
        <v>0</v>
      </c>
      <c r="AP213">
        <f t="shared" ca="1" si="40"/>
        <v>1</v>
      </c>
      <c r="AQ213">
        <f t="shared" ca="1" si="41"/>
        <v>1</v>
      </c>
      <c r="AR213">
        <f t="shared" ca="1" si="42"/>
        <v>0</v>
      </c>
      <c r="AS213">
        <v>0</v>
      </c>
    </row>
    <row r="214" spans="1:45" x14ac:dyDescent="0.3">
      <c r="A214" s="1">
        <v>469</v>
      </c>
      <c r="C214" t="s">
        <v>415</v>
      </c>
      <c r="D214">
        <v>2017</v>
      </c>
      <c r="E214">
        <v>0</v>
      </c>
      <c r="F214">
        <v>5</v>
      </c>
      <c r="G214" t="s">
        <v>561</v>
      </c>
      <c r="H214" t="s">
        <v>750</v>
      </c>
      <c r="I214" t="s">
        <v>1068</v>
      </c>
      <c r="J214" t="s">
        <v>1332</v>
      </c>
      <c r="K214" t="s">
        <v>1555</v>
      </c>
      <c r="L214" t="s">
        <v>1734</v>
      </c>
      <c r="M214" t="s">
        <v>1883</v>
      </c>
      <c r="N214" t="s">
        <v>1974</v>
      </c>
      <c r="O214" t="s">
        <v>2033</v>
      </c>
      <c r="P214" t="s">
        <v>2069</v>
      </c>
      <c r="Q214" t="s">
        <v>2094</v>
      </c>
      <c r="Z214" s="22" t="s">
        <v>2167</v>
      </c>
      <c r="AA214" s="22" t="s">
        <v>2167</v>
      </c>
      <c r="AB214" s="22" t="s">
        <v>2167</v>
      </c>
      <c r="AC214" s="22" t="s">
        <v>2167</v>
      </c>
      <c r="AD214" s="22" t="s">
        <v>2167</v>
      </c>
      <c r="AI214">
        <f t="shared" si="33"/>
        <v>0</v>
      </c>
      <c r="AJ214">
        <f t="shared" si="34"/>
        <v>0</v>
      </c>
      <c r="AK214">
        <f t="shared" ca="1" si="35"/>
        <v>0</v>
      </c>
      <c r="AL214">
        <f t="shared" ca="1" si="36"/>
        <v>0</v>
      </c>
      <c r="AM214">
        <f t="shared" ca="1" si="37"/>
        <v>5</v>
      </c>
      <c r="AN214">
        <f t="shared" ca="1" si="38"/>
        <v>0</v>
      </c>
      <c r="AO214">
        <f t="shared" ca="1" si="39"/>
        <v>0</v>
      </c>
      <c r="AP214">
        <f t="shared" ca="1" si="40"/>
        <v>1</v>
      </c>
      <c r="AQ214">
        <f t="shared" ca="1" si="41"/>
        <v>1</v>
      </c>
      <c r="AR214">
        <f t="shared" ca="1" si="42"/>
        <v>0</v>
      </c>
      <c r="AS214">
        <v>0</v>
      </c>
    </row>
    <row r="215" spans="1:45" x14ac:dyDescent="0.3">
      <c r="A215" s="1">
        <v>470</v>
      </c>
      <c r="C215" t="s">
        <v>416</v>
      </c>
      <c r="D215">
        <v>2017</v>
      </c>
      <c r="E215">
        <v>0</v>
      </c>
      <c r="F215">
        <v>2</v>
      </c>
      <c r="G215" t="s">
        <v>561</v>
      </c>
      <c r="H215" t="s">
        <v>751</v>
      </c>
      <c r="I215" t="s">
        <v>1069</v>
      </c>
      <c r="J215" t="s">
        <v>1333</v>
      </c>
      <c r="K215" t="s">
        <v>1556</v>
      </c>
      <c r="Z215" s="22" t="s">
        <v>2167</v>
      </c>
      <c r="AA215" s="21" t="s">
        <v>2166</v>
      </c>
      <c r="AI215">
        <f t="shared" si="33"/>
        <v>1</v>
      </c>
      <c r="AJ215">
        <f t="shared" si="34"/>
        <v>0</v>
      </c>
      <c r="AK215">
        <f t="shared" ca="1" si="35"/>
        <v>1</v>
      </c>
      <c r="AL215">
        <f t="shared" ca="1" si="36"/>
        <v>0</v>
      </c>
      <c r="AM215">
        <f t="shared" ca="1" si="37"/>
        <v>1</v>
      </c>
      <c r="AN215">
        <f t="shared" ca="1" si="38"/>
        <v>0</v>
      </c>
      <c r="AO215">
        <f t="shared" ca="1" si="39"/>
        <v>0</v>
      </c>
      <c r="AP215">
        <f t="shared" ca="1" si="40"/>
        <v>1</v>
      </c>
      <c r="AQ215">
        <f t="shared" ca="1" si="41"/>
        <v>1</v>
      </c>
      <c r="AR215">
        <f t="shared" ca="1" si="42"/>
        <v>0.5</v>
      </c>
      <c r="AS215">
        <v>0</v>
      </c>
    </row>
    <row r="216" spans="1:45" x14ac:dyDescent="0.3">
      <c r="A216" s="1">
        <v>471</v>
      </c>
      <c r="C216" t="s">
        <v>417</v>
      </c>
      <c r="D216">
        <v>2017</v>
      </c>
      <c r="E216">
        <v>0</v>
      </c>
      <c r="F216">
        <v>2</v>
      </c>
      <c r="G216" t="s">
        <v>561</v>
      </c>
      <c r="H216" t="s">
        <v>752</v>
      </c>
      <c r="I216" t="s">
        <v>1070</v>
      </c>
      <c r="J216" t="s">
        <v>1334</v>
      </c>
      <c r="K216" t="s">
        <v>1557</v>
      </c>
      <c r="Z216" s="23" t="s">
        <v>2168</v>
      </c>
      <c r="AA216" s="22" t="s">
        <v>2167</v>
      </c>
      <c r="AI216">
        <f t="shared" si="33"/>
        <v>0</v>
      </c>
      <c r="AJ216">
        <f t="shared" si="34"/>
        <v>1</v>
      </c>
      <c r="AK216">
        <f t="shared" ca="1" si="35"/>
        <v>0</v>
      </c>
      <c r="AL216">
        <f t="shared" ca="1" si="36"/>
        <v>1</v>
      </c>
      <c r="AM216">
        <f t="shared" ca="1" si="37"/>
        <v>1</v>
      </c>
      <c r="AN216">
        <f t="shared" ca="1" si="38"/>
        <v>0</v>
      </c>
      <c r="AO216">
        <f t="shared" ca="1" si="39"/>
        <v>0</v>
      </c>
      <c r="AP216">
        <f t="shared" ca="1" si="40"/>
        <v>1</v>
      </c>
      <c r="AQ216">
        <f t="shared" ca="1" si="41"/>
        <v>1</v>
      </c>
      <c r="AR216">
        <f t="shared" ca="1" si="42"/>
        <v>0</v>
      </c>
      <c r="AS216">
        <v>0</v>
      </c>
    </row>
    <row r="217" spans="1:45" x14ac:dyDescent="0.3">
      <c r="A217" s="1">
        <v>472</v>
      </c>
      <c r="C217" t="s">
        <v>418</v>
      </c>
      <c r="D217">
        <v>2017</v>
      </c>
      <c r="E217">
        <v>0</v>
      </c>
      <c r="F217">
        <v>3</v>
      </c>
      <c r="G217" t="s">
        <v>561</v>
      </c>
      <c r="H217" t="s">
        <v>753</v>
      </c>
      <c r="I217" t="s">
        <v>1071</v>
      </c>
      <c r="J217" t="s">
        <v>739</v>
      </c>
      <c r="K217" t="s">
        <v>1032</v>
      </c>
      <c r="L217" t="s">
        <v>1302</v>
      </c>
      <c r="M217" t="s">
        <v>1527</v>
      </c>
      <c r="Z217" s="22" t="s">
        <v>2167</v>
      </c>
      <c r="AA217" s="21" t="s">
        <v>2166</v>
      </c>
      <c r="AB217" s="23" t="s">
        <v>2168</v>
      </c>
      <c r="AI217">
        <f t="shared" si="33"/>
        <v>1</v>
      </c>
      <c r="AJ217">
        <f t="shared" si="34"/>
        <v>1</v>
      </c>
      <c r="AK217">
        <f t="shared" ca="1" si="35"/>
        <v>1</v>
      </c>
      <c r="AL217">
        <f t="shared" ca="1" si="36"/>
        <v>1</v>
      </c>
      <c r="AM217">
        <f t="shared" ca="1" si="37"/>
        <v>1</v>
      </c>
      <c r="AN217">
        <f t="shared" ca="1" si="38"/>
        <v>0</v>
      </c>
      <c r="AO217">
        <f t="shared" ca="1" si="39"/>
        <v>0</v>
      </c>
      <c r="AP217">
        <f t="shared" ca="1" si="40"/>
        <v>1</v>
      </c>
      <c r="AQ217">
        <f t="shared" ca="1" si="41"/>
        <v>1</v>
      </c>
      <c r="AR217">
        <f t="shared" ca="1" si="42"/>
        <v>0.33333333333333331</v>
      </c>
      <c r="AS217">
        <v>0</v>
      </c>
    </row>
    <row r="218" spans="1:45" x14ac:dyDescent="0.3">
      <c r="A218" s="1">
        <v>473</v>
      </c>
      <c r="C218" t="s">
        <v>419</v>
      </c>
      <c r="D218">
        <v>2017</v>
      </c>
      <c r="E218">
        <v>0</v>
      </c>
      <c r="F218">
        <v>1</v>
      </c>
      <c r="G218" t="s">
        <v>561</v>
      </c>
      <c r="H218" t="s">
        <v>754</v>
      </c>
      <c r="I218" t="s">
        <v>1072</v>
      </c>
      <c r="Z218" s="22" t="s">
        <v>2167</v>
      </c>
      <c r="AI218">
        <f t="shared" si="33"/>
        <v>0</v>
      </c>
      <c r="AJ218">
        <f t="shared" si="34"/>
        <v>0</v>
      </c>
      <c r="AK218">
        <f t="shared" ca="1" si="35"/>
        <v>0</v>
      </c>
      <c r="AL218">
        <f t="shared" ca="1" si="36"/>
        <v>0</v>
      </c>
      <c r="AM218">
        <f t="shared" ca="1" si="37"/>
        <v>1</v>
      </c>
      <c r="AN218">
        <f t="shared" ca="1" si="38"/>
        <v>0</v>
      </c>
      <c r="AO218">
        <f t="shared" ca="1" si="39"/>
        <v>0</v>
      </c>
      <c r="AP218">
        <f t="shared" ca="1" si="40"/>
        <v>1</v>
      </c>
      <c r="AQ218">
        <f t="shared" ca="1" si="41"/>
        <v>1</v>
      </c>
      <c r="AR218">
        <f t="shared" ca="1" si="42"/>
        <v>0</v>
      </c>
      <c r="AS218">
        <v>0</v>
      </c>
    </row>
    <row r="219" spans="1:45" x14ac:dyDescent="0.3">
      <c r="A219" s="1">
        <v>474</v>
      </c>
      <c r="C219" t="s">
        <v>420</v>
      </c>
      <c r="D219">
        <v>2017</v>
      </c>
      <c r="E219">
        <v>0</v>
      </c>
      <c r="F219">
        <v>3</v>
      </c>
      <c r="G219" t="s">
        <v>561</v>
      </c>
      <c r="H219" t="s">
        <v>755</v>
      </c>
      <c r="I219" t="s">
        <v>1073</v>
      </c>
      <c r="J219" t="s">
        <v>1335</v>
      </c>
      <c r="K219" t="s">
        <v>1558</v>
      </c>
      <c r="L219" t="s">
        <v>1735</v>
      </c>
      <c r="M219" t="s">
        <v>1884</v>
      </c>
      <c r="Z219" s="22" t="s">
        <v>2167</v>
      </c>
      <c r="AA219" s="22" t="s">
        <v>2167</v>
      </c>
      <c r="AB219" s="21" t="s">
        <v>2166</v>
      </c>
      <c r="AI219">
        <f t="shared" si="33"/>
        <v>1</v>
      </c>
      <c r="AJ219">
        <f t="shared" si="34"/>
        <v>0</v>
      </c>
      <c r="AK219">
        <f t="shared" ca="1" si="35"/>
        <v>1</v>
      </c>
      <c r="AL219">
        <f t="shared" ca="1" si="36"/>
        <v>0</v>
      </c>
      <c r="AM219">
        <f t="shared" ca="1" si="37"/>
        <v>2</v>
      </c>
      <c r="AN219">
        <f t="shared" ca="1" si="38"/>
        <v>0</v>
      </c>
      <c r="AO219">
        <f t="shared" ca="1" si="39"/>
        <v>0</v>
      </c>
      <c r="AP219">
        <f t="shared" ca="1" si="40"/>
        <v>1</v>
      </c>
      <c r="AQ219">
        <f t="shared" ca="1" si="41"/>
        <v>1</v>
      </c>
      <c r="AR219">
        <f t="shared" ca="1" si="42"/>
        <v>0.33333333333333331</v>
      </c>
      <c r="AS219">
        <v>0</v>
      </c>
    </row>
    <row r="220" spans="1:45" x14ac:dyDescent="0.3">
      <c r="A220" s="1">
        <v>475</v>
      </c>
      <c r="C220" t="s">
        <v>421</v>
      </c>
      <c r="D220">
        <v>2017</v>
      </c>
      <c r="E220">
        <v>0</v>
      </c>
      <c r="F220">
        <v>1</v>
      </c>
      <c r="G220" t="s">
        <v>561</v>
      </c>
      <c r="H220" t="s">
        <v>756</v>
      </c>
      <c r="I220" t="s">
        <v>1074</v>
      </c>
      <c r="Z220" s="22" t="s">
        <v>2167</v>
      </c>
      <c r="AI220">
        <f t="shared" si="33"/>
        <v>0</v>
      </c>
      <c r="AJ220">
        <f t="shared" si="34"/>
        <v>0</v>
      </c>
      <c r="AK220">
        <f t="shared" ca="1" si="35"/>
        <v>0</v>
      </c>
      <c r="AL220">
        <f t="shared" ca="1" si="36"/>
        <v>0</v>
      </c>
      <c r="AM220">
        <f t="shared" ca="1" si="37"/>
        <v>1</v>
      </c>
      <c r="AN220">
        <f t="shared" ca="1" si="38"/>
        <v>0</v>
      </c>
      <c r="AO220">
        <f t="shared" ca="1" si="39"/>
        <v>0</v>
      </c>
      <c r="AP220">
        <f t="shared" ca="1" si="40"/>
        <v>1</v>
      </c>
      <c r="AQ220">
        <f t="shared" ca="1" si="41"/>
        <v>1</v>
      </c>
      <c r="AR220">
        <f t="shared" ca="1" si="42"/>
        <v>0</v>
      </c>
      <c r="AS220">
        <v>0</v>
      </c>
    </row>
    <row r="221" spans="1:45" x14ac:dyDescent="0.3">
      <c r="A221" s="1">
        <v>476</v>
      </c>
      <c r="C221" t="s">
        <v>422</v>
      </c>
      <c r="D221">
        <v>2017</v>
      </c>
      <c r="E221">
        <v>0</v>
      </c>
      <c r="F221">
        <v>1</v>
      </c>
      <c r="G221" t="s">
        <v>561</v>
      </c>
      <c r="H221" t="s">
        <v>757</v>
      </c>
      <c r="I221" t="s">
        <v>1075</v>
      </c>
      <c r="Z221" s="22" t="s">
        <v>2167</v>
      </c>
      <c r="AI221">
        <f t="shared" si="33"/>
        <v>0</v>
      </c>
      <c r="AJ221">
        <f t="shared" si="34"/>
        <v>0</v>
      </c>
      <c r="AK221">
        <f t="shared" ca="1" si="35"/>
        <v>0</v>
      </c>
      <c r="AL221">
        <f t="shared" ca="1" si="36"/>
        <v>0</v>
      </c>
      <c r="AM221">
        <f t="shared" ca="1" si="37"/>
        <v>1</v>
      </c>
      <c r="AN221">
        <f t="shared" ca="1" si="38"/>
        <v>0</v>
      </c>
      <c r="AO221">
        <f t="shared" ca="1" si="39"/>
        <v>0</v>
      </c>
      <c r="AP221">
        <f t="shared" ca="1" si="40"/>
        <v>1</v>
      </c>
      <c r="AQ221">
        <f t="shared" ca="1" si="41"/>
        <v>1</v>
      </c>
      <c r="AR221">
        <f t="shared" ca="1" si="42"/>
        <v>0</v>
      </c>
      <c r="AS221">
        <v>0</v>
      </c>
    </row>
    <row r="222" spans="1:45" x14ac:dyDescent="0.3">
      <c r="A222" s="1">
        <v>477</v>
      </c>
      <c r="C222" t="s">
        <v>423</v>
      </c>
      <c r="D222">
        <v>2017</v>
      </c>
      <c r="E222">
        <v>0</v>
      </c>
      <c r="F222">
        <v>2</v>
      </c>
      <c r="G222" t="s">
        <v>561</v>
      </c>
      <c r="H222" t="s">
        <v>758</v>
      </c>
      <c r="I222" t="s">
        <v>1076</v>
      </c>
      <c r="J222" t="s">
        <v>1336</v>
      </c>
      <c r="K222" t="s">
        <v>1559</v>
      </c>
      <c r="Z222" s="21" t="s">
        <v>2166</v>
      </c>
      <c r="AA222" s="23" t="s">
        <v>2168</v>
      </c>
      <c r="AI222">
        <f t="shared" si="33"/>
        <v>1</v>
      </c>
      <c r="AJ222">
        <f t="shared" si="34"/>
        <v>1</v>
      </c>
      <c r="AK222">
        <f t="shared" ca="1" si="35"/>
        <v>1</v>
      </c>
      <c r="AL222">
        <f t="shared" ca="1" si="36"/>
        <v>1</v>
      </c>
      <c r="AM222">
        <f t="shared" ca="1" si="37"/>
        <v>0</v>
      </c>
      <c r="AN222">
        <f t="shared" ca="1" si="38"/>
        <v>0</v>
      </c>
      <c r="AO222">
        <f t="shared" ca="1" si="39"/>
        <v>0</v>
      </c>
      <c r="AP222">
        <f t="shared" ca="1" si="40"/>
        <v>0</v>
      </c>
      <c r="AQ222">
        <f t="shared" ca="1" si="41"/>
        <v>1</v>
      </c>
      <c r="AR222">
        <f t="shared" ca="1" si="42"/>
        <v>0.5</v>
      </c>
      <c r="AS222">
        <v>0</v>
      </c>
    </row>
    <row r="223" spans="1:45" x14ac:dyDescent="0.3">
      <c r="A223" s="1">
        <v>478</v>
      </c>
      <c r="C223" t="s">
        <v>424</v>
      </c>
      <c r="D223">
        <v>2017</v>
      </c>
      <c r="E223">
        <v>0</v>
      </c>
      <c r="F223">
        <v>3</v>
      </c>
      <c r="G223" t="s">
        <v>561</v>
      </c>
      <c r="H223" t="s">
        <v>759</v>
      </c>
      <c r="I223" t="s">
        <v>1077</v>
      </c>
      <c r="J223" t="s">
        <v>1337</v>
      </c>
      <c r="K223" t="s">
        <v>1560</v>
      </c>
      <c r="L223" t="s">
        <v>1736</v>
      </c>
      <c r="M223" t="s">
        <v>1885</v>
      </c>
      <c r="Z223" s="21" t="s">
        <v>2166</v>
      </c>
      <c r="AA223" s="21" t="s">
        <v>2166</v>
      </c>
      <c r="AB223" s="21" t="s">
        <v>2166</v>
      </c>
      <c r="AI223">
        <f t="shared" si="33"/>
        <v>3</v>
      </c>
      <c r="AJ223">
        <f t="shared" si="34"/>
        <v>0</v>
      </c>
      <c r="AK223">
        <f t="shared" ca="1" si="35"/>
        <v>3</v>
      </c>
      <c r="AL223">
        <f t="shared" ca="1" si="36"/>
        <v>0</v>
      </c>
      <c r="AM223">
        <f t="shared" ca="1" si="37"/>
        <v>0</v>
      </c>
      <c r="AN223">
        <f t="shared" ca="1" si="38"/>
        <v>1</v>
      </c>
      <c r="AO223">
        <f t="shared" ca="1" si="39"/>
        <v>0</v>
      </c>
      <c r="AP223">
        <f t="shared" ca="1" si="40"/>
        <v>0</v>
      </c>
      <c r="AQ223">
        <f t="shared" ca="1" si="41"/>
        <v>0</v>
      </c>
      <c r="AR223">
        <f t="shared" ca="1" si="42"/>
        <v>0.22222222222222221</v>
      </c>
      <c r="AS223">
        <v>0</v>
      </c>
    </row>
    <row r="224" spans="1:45" x14ac:dyDescent="0.3">
      <c r="A224" s="1">
        <v>479</v>
      </c>
      <c r="B224" s="2" t="s">
        <v>191</v>
      </c>
      <c r="C224" t="s">
        <v>425</v>
      </c>
      <c r="D224">
        <v>2017</v>
      </c>
      <c r="E224">
        <v>0</v>
      </c>
      <c r="F224">
        <v>1</v>
      </c>
      <c r="G224" t="s">
        <v>561</v>
      </c>
      <c r="H224" t="s">
        <v>760</v>
      </c>
      <c r="I224" t="s">
        <v>1078</v>
      </c>
      <c r="Z224" s="22" t="s">
        <v>2167</v>
      </c>
      <c r="AI224">
        <f t="shared" si="33"/>
        <v>0</v>
      </c>
      <c r="AJ224">
        <f t="shared" si="34"/>
        <v>0</v>
      </c>
      <c r="AK224">
        <f t="shared" ca="1" si="35"/>
        <v>0</v>
      </c>
      <c r="AL224">
        <f t="shared" ca="1" si="36"/>
        <v>0</v>
      </c>
      <c r="AM224">
        <f t="shared" ca="1" si="37"/>
        <v>1</v>
      </c>
      <c r="AN224">
        <f t="shared" ca="1" si="38"/>
        <v>0</v>
      </c>
      <c r="AO224">
        <f t="shared" ca="1" si="39"/>
        <v>0</v>
      </c>
      <c r="AP224">
        <f t="shared" ca="1" si="40"/>
        <v>1</v>
      </c>
      <c r="AQ224">
        <f t="shared" ca="1" si="41"/>
        <v>1</v>
      </c>
      <c r="AR224">
        <f t="shared" ca="1" si="42"/>
        <v>0</v>
      </c>
      <c r="AS224">
        <v>0</v>
      </c>
    </row>
    <row r="225" spans="1:45" x14ac:dyDescent="0.3">
      <c r="A225" s="1">
        <v>480</v>
      </c>
      <c r="B225" s="2" t="s">
        <v>192</v>
      </c>
      <c r="C225" t="s">
        <v>426</v>
      </c>
      <c r="D225">
        <v>2017</v>
      </c>
      <c r="E225">
        <v>0</v>
      </c>
      <c r="F225">
        <v>1</v>
      </c>
      <c r="G225" t="s">
        <v>561</v>
      </c>
      <c r="H225" t="s">
        <v>761</v>
      </c>
      <c r="I225" t="s">
        <v>1079</v>
      </c>
      <c r="Z225" s="21" t="s">
        <v>2166</v>
      </c>
      <c r="AI225">
        <f t="shared" si="33"/>
        <v>1</v>
      </c>
      <c r="AJ225">
        <f t="shared" si="34"/>
        <v>0</v>
      </c>
      <c r="AK225">
        <f t="shared" ca="1" si="35"/>
        <v>1</v>
      </c>
      <c r="AL225">
        <f t="shared" ca="1" si="36"/>
        <v>0</v>
      </c>
      <c r="AM225">
        <f t="shared" ca="1" si="37"/>
        <v>0</v>
      </c>
      <c r="AN225">
        <f t="shared" ca="1" si="38"/>
        <v>1</v>
      </c>
      <c r="AO225">
        <f t="shared" ca="1" si="39"/>
        <v>0</v>
      </c>
      <c r="AP225">
        <f t="shared" ca="1" si="40"/>
        <v>0</v>
      </c>
      <c r="AQ225">
        <f t="shared" ca="1" si="41"/>
        <v>0</v>
      </c>
      <c r="AR225">
        <f t="shared" ca="1" si="42"/>
        <v>1</v>
      </c>
      <c r="AS225">
        <v>0</v>
      </c>
    </row>
    <row r="226" spans="1:45" x14ac:dyDescent="0.3">
      <c r="A226" s="1">
        <v>481</v>
      </c>
      <c r="C226" t="s">
        <v>427</v>
      </c>
      <c r="D226">
        <v>2017</v>
      </c>
      <c r="E226">
        <v>0</v>
      </c>
      <c r="F226">
        <v>1</v>
      </c>
      <c r="G226" t="s">
        <v>561</v>
      </c>
      <c r="H226" t="s">
        <v>762</v>
      </c>
      <c r="I226" t="s">
        <v>1080</v>
      </c>
      <c r="Z226" s="23" t="s">
        <v>2168</v>
      </c>
      <c r="AI226">
        <f t="shared" si="33"/>
        <v>0</v>
      </c>
      <c r="AJ226">
        <f t="shared" si="34"/>
        <v>1</v>
      </c>
      <c r="AK226">
        <f t="shared" ca="1" si="35"/>
        <v>0</v>
      </c>
      <c r="AL226">
        <f t="shared" ca="1" si="36"/>
        <v>1</v>
      </c>
      <c r="AM226">
        <f t="shared" ca="1" si="37"/>
        <v>0</v>
      </c>
      <c r="AN226">
        <f t="shared" ca="1" si="38"/>
        <v>0</v>
      </c>
      <c r="AO226">
        <f t="shared" ca="1" si="39"/>
        <v>1</v>
      </c>
      <c r="AP226">
        <f t="shared" ca="1" si="40"/>
        <v>0</v>
      </c>
      <c r="AQ226">
        <f t="shared" ca="1" si="41"/>
        <v>0</v>
      </c>
      <c r="AR226">
        <f t="shared" ca="1" si="42"/>
        <v>0</v>
      </c>
      <c r="AS226">
        <v>0</v>
      </c>
    </row>
    <row r="227" spans="1:45" x14ac:dyDescent="0.3">
      <c r="A227" s="1">
        <v>482</v>
      </c>
      <c r="C227" t="s">
        <v>428</v>
      </c>
      <c r="D227">
        <v>2017</v>
      </c>
      <c r="E227">
        <v>0</v>
      </c>
      <c r="F227">
        <v>2</v>
      </c>
      <c r="G227" t="s">
        <v>561</v>
      </c>
      <c r="H227" t="s">
        <v>763</v>
      </c>
      <c r="I227" t="s">
        <v>1081</v>
      </c>
      <c r="J227" t="s">
        <v>1338</v>
      </c>
      <c r="K227" t="s">
        <v>1561</v>
      </c>
      <c r="Z227" s="22" t="s">
        <v>2167</v>
      </c>
      <c r="AA227" s="22" t="s">
        <v>2167</v>
      </c>
      <c r="AI227">
        <f t="shared" si="33"/>
        <v>0</v>
      </c>
      <c r="AJ227">
        <f t="shared" si="34"/>
        <v>0</v>
      </c>
      <c r="AK227">
        <f t="shared" ca="1" si="35"/>
        <v>0</v>
      </c>
      <c r="AL227">
        <f t="shared" ca="1" si="36"/>
        <v>0</v>
      </c>
      <c r="AM227">
        <f t="shared" ca="1" si="37"/>
        <v>2</v>
      </c>
      <c r="AN227">
        <f t="shared" ca="1" si="38"/>
        <v>0</v>
      </c>
      <c r="AO227">
        <f t="shared" ca="1" si="39"/>
        <v>0</v>
      </c>
      <c r="AP227">
        <f t="shared" ca="1" si="40"/>
        <v>1</v>
      </c>
      <c r="AQ227">
        <f t="shared" ca="1" si="41"/>
        <v>1</v>
      </c>
      <c r="AR227">
        <f t="shared" ca="1" si="42"/>
        <v>0</v>
      </c>
      <c r="AS227">
        <v>0</v>
      </c>
    </row>
    <row r="228" spans="1:45" x14ac:dyDescent="0.3">
      <c r="A228" s="1">
        <v>483</v>
      </c>
      <c r="C228" t="s">
        <v>429</v>
      </c>
      <c r="D228">
        <v>2017</v>
      </c>
      <c r="E228">
        <v>0</v>
      </c>
      <c r="F228">
        <v>3</v>
      </c>
      <c r="G228" t="s">
        <v>561</v>
      </c>
      <c r="H228" t="s">
        <v>764</v>
      </c>
      <c r="I228" t="s">
        <v>1082</v>
      </c>
      <c r="J228" t="s">
        <v>1339</v>
      </c>
      <c r="K228" t="s">
        <v>1562</v>
      </c>
      <c r="L228" t="s">
        <v>1737</v>
      </c>
      <c r="M228" t="s">
        <v>1886</v>
      </c>
      <c r="Z228" s="22" t="s">
        <v>2167</v>
      </c>
      <c r="AA228" s="23" t="s">
        <v>2168</v>
      </c>
      <c r="AB228" s="22" t="s">
        <v>2167</v>
      </c>
      <c r="AI228">
        <f t="shared" si="33"/>
        <v>0</v>
      </c>
      <c r="AJ228">
        <f t="shared" si="34"/>
        <v>1</v>
      </c>
      <c r="AK228">
        <f t="shared" ca="1" si="35"/>
        <v>0</v>
      </c>
      <c r="AL228">
        <f t="shared" ca="1" si="36"/>
        <v>1</v>
      </c>
      <c r="AM228">
        <f t="shared" ca="1" si="37"/>
        <v>2</v>
      </c>
      <c r="AN228">
        <f t="shared" ca="1" si="38"/>
        <v>0</v>
      </c>
      <c r="AO228">
        <f t="shared" ca="1" si="39"/>
        <v>0</v>
      </c>
      <c r="AP228">
        <f t="shared" ca="1" si="40"/>
        <v>1</v>
      </c>
      <c r="AQ228">
        <f t="shared" ca="1" si="41"/>
        <v>1</v>
      </c>
      <c r="AR228">
        <f t="shared" ca="1" si="42"/>
        <v>0</v>
      </c>
      <c r="AS228">
        <v>0</v>
      </c>
    </row>
    <row r="229" spans="1:45" x14ac:dyDescent="0.3">
      <c r="A229" s="1">
        <v>484</v>
      </c>
      <c r="C229" t="s">
        <v>430</v>
      </c>
      <c r="D229">
        <v>2017</v>
      </c>
      <c r="E229">
        <v>0</v>
      </c>
      <c r="F229">
        <v>5</v>
      </c>
      <c r="G229" t="s">
        <v>561</v>
      </c>
      <c r="H229" t="s">
        <v>765</v>
      </c>
      <c r="I229" t="s">
        <v>1083</v>
      </c>
      <c r="J229" t="s">
        <v>1340</v>
      </c>
      <c r="K229" t="s">
        <v>1563</v>
      </c>
      <c r="L229" t="s">
        <v>1738</v>
      </c>
      <c r="M229" t="s">
        <v>1887</v>
      </c>
      <c r="N229" t="s">
        <v>1975</v>
      </c>
      <c r="O229" t="s">
        <v>2034</v>
      </c>
      <c r="P229" t="s">
        <v>2070</v>
      </c>
      <c r="Q229" t="s">
        <v>2095</v>
      </c>
      <c r="Z229" s="22" t="s">
        <v>2167</v>
      </c>
      <c r="AA229" s="21" t="s">
        <v>2166</v>
      </c>
      <c r="AB229" s="21" t="s">
        <v>2166</v>
      </c>
      <c r="AC229" s="22" t="s">
        <v>2167</v>
      </c>
      <c r="AD229" s="23" t="s">
        <v>2168</v>
      </c>
      <c r="AI229">
        <f t="shared" si="33"/>
        <v>2</v>
      </c>
      <c r="AJ229">
        <f t="shared" si="34"/>
        <v>1</v>
      </c>
      <c r="AK229">
        <f t="shared" ca="1" si="35"/>
        <v>2</v>
      </c>
      <c r="AL229">
        <f t="shared" ca="1" si="36"/>
        <v>1</v>
      </c>
      <c r="AM229">
        <f t="shared" ca="1" si="37"/>
        <v>2</v>
      </c>
      <c r="AN229">
        <f t="shared" ca="1" si="38"/>
        <v>0</v>
      </c>
      <c r="AO229">
        <f t="shared" ca="1" si="39"/>
        <v>0</v>
      </c>
      <c r="AP229">
        <f t="shared" ca="1" si="40"/>
        <v>1</v>
      </c>
      <c r="AQ229">
        <f t="shared" ca="1" si="41"/>
        <v>1</v>
      </c>
      <c r="AR229">
        <f t="shared" ca="1" si="42"/>
        <v>8.0000000000000016E-2</v>
      </c>
      <c r="AS229">
        <v>0</v>
      </c>
    </row>
    <row r="230" spans="1:45" x14ac:dyDescent="0.3">
      <c r="A230" s="1">
        <v>485</v>
      </c>
      <c r="C230" t="s">
        <v>431</v>
      </c>
      <c r="D230">
        <v>2017</v>
      </c>
      <c r="E230">
        <v>0</v>
      </c>
      <c r="F230">
        <v>3</v>
      </c>
      <c r="G230" t="s">
        <v>561</v>
      </c>
      <c r="H230" t="s">
        <v>766</v>
      </c>
      <c r="I230" t="s">
        <v>1084</v>
      </c>
      <c r="J230" t="s">
        <v>1341</v>
      </c>
      <c r="K230" t="s">
        <v>1564</v>
      </c>
      <c r="L230" t="s">
        <v>1739</v>
      </c>
      <c r="M230" t="s">
        <v>1888</v>
      </c>
      <c r="Z230" s="21" t="s">
        <v>2166</v>
      </c>
      <c r="AA230" s="23" t="s">
        <v>2168</v>
      </c>
      <c r="AB230" s="21" t="s">
        <v>2166</v>
      </c>
      <c r="AI230">
        <f t="shared" si="33"/>
        <v>2</v>
      </c>
      <c r="AJ230">
        <f t="shared" si="34"/>
        <v>1</v>
      </c>
      <c r="AK230">
        <f t="shared" ca="1" si="35"/>
        <v>2</v>
      </c>
      <c r="AL230">
        <f t="shared" ca="1" si="36"/>
        <v>1</v>
      </c>
      <c r="AM230">
        <f t="shared" ca="1" si="37"/>
        <v>0</v>
      </c>
      <c r="AN230">
        <f t="shared" ca="1" si="38"/>
        <v>0</v>
      </c>
      <c r="AO230">
        <f t="shared" ca="1" si="39"/>
        <v>0</v>
      </c>
      <c r="AP230">
        <f t="shared" ca="1" si="40"/>
        <v>0</v>
      </c>
      <c r="AQ230">
        <f t="shared" ca="1" si="41"/>
        <v>1</v>
      </c>
      <c r="AR230">
        <f t="shared" ca="1" si="42"/>
        <v>0.22222222222222221</v>
      </c>
      <c r="AS230">
        <v>0</v>
      </c>
    </row>
    <row r="231" spans="1:45" x14ac:dyDescent="0.3">
      <c r="A231" s="1">
        <v>486</v>
      </c>
      <c r="C231" t="s">
        <v>432</v>
      </c>
      <c r="D231">
        <v>2017</v>
      </c>
      <c r="E231">
        <v>0</v>
      </c>
      <c r="F231">
        <v>1</v>
      </c>
      <c r="G231" t="s">
        <v>561</v>
      </c>
      <c r="H231" t="s">
        <v>767</v>
      </c>
      <c r="I231" t="s">
        <v>1085</v>
      </c>
      <c r="Z231" s="22" t="s">
        <v>2167</v>
      </c>
      <c r="AI231">
        <f t="shared" si="33"/>
        <v>0</v>
      </c>
      <c r="AJ231">
        <f t="shared" si="34"/>
        <v>0</v>
      </c>
      <c r="AK231">
        <f t="shared" ca="1" si="35"/>
        <v>0</v>
      </c>
      <c r="AL231">
        <f t="shared" ca="1" si="36"/>
        <v>0</v>
      </c>
      <c r="AM231">
        <f t="shared" ca="1" si="37"/>
        <v>1</v>
      </c>
      <c r="AN231">
        <f t="shared" ca="1" si="38"/>
        <v>0</v>
      </c>
      <c r="AO231">
        <f t="shared" ca="1" si="39"/>
        <v>0</v>
      </c>
      <c r="AP231">
        <f t="shared" ca="1" si="40"/>
        <v>1</v>
      </c>
      <c r="AQ231">
        <f t="shared" ca="1" si="41"/>
        <v>1</v>
      </c>
      <c r="AR231">
        <f t="shared" ca="1" si="42"/>
        <v>0</v>
      </c>
      <c r="AS231">
        <v>0</v>
      </c>
    </row>
    <row r="232" spans="1:45" x14ac:dyDescent="0.3">
      <c r="A232" s="1">
        <v>487</v>
      </c>
      <c r="C232" t="s">
        <v>433</v>
      </c>
      <c r="D232">
        <v>2017</v>
      </c>
      <c r="E232">
        <v>0</v>
      </c>
      <c r="F232">
        <v>3</v>
      </c>
      <c r="G232" t="s">
        <v>561</v>
      </c>
      <c r="H232" t="s">
        <v>768</v>
      </c>
      <c r="I232" t="s">
        <v>1086</v>
      </c>
      <c r="J232" t="s">
        <v>1342</v>
      </c>
      <c r="K232" t="s">
        <v>1565</v>
      </c>
      <c r="L232" t="s">
        <v>1740</v>
      </c>
      <c r="M232" t="s">
        <v>1889</v>
      </c>
      <c r="Z232" s="23" t="s">
        <v>2168</v>
      </c>
      <c r="AA232" s="23" t="s">
        <v>2168</v>
      </c>
      <c r="AB232" s="23" t="s">
        <v>2168</v>
      </c>
      <c r="AI232">
        <f t="shared" si="33"/>
        <v>0</v>
      </c>
      <c r="AJ232">
        <f t="shared" si="34"/>
        <v>3</v>
      </c>
      <c r="AK232">
        <f t="shared" ca="1" si="35"/>
        <v>0</v>
      </c>
      <c r="AL232">
        <f t="shared" ca="1" si="36"/>
        <v>3</v>
      </c>
      <c r="AM232">
        <f t="shared" ca="1" si="37"/>
        <v>0</v>
      </c>
      <c r="AN232">
        <f t="shared" ca="1" si="38"/>
        <v>0</v>
      </c>
      <c r="AO232">
        <f t="shared" ca="1" si="39"/>
        <v>1</v>
      </c>
      <c r="AP232">
        <f t="shared" ca="1" si="40"/>
        <v>0</v>
      </c>
      <c r="AQ232">
        <f t="shared" ca="1" si="41"/>
        <v>0</v>
      </c>
      <c r="AR232">
        <f t="shared" ca="1" si="42"/>
        <v>0</v>
      </c>
      <c r="AS232">
        <v>0</v>
      </c>
    </row>
    <row r="233" spans="1:45" x14ac:dyDescent="0.3">
      <c r="A233" s="1">
        <v>488</v>
      </c>
      <c r="C233" t="s">
        <v>434</v>
      </c>
      <c r="D233">
        <v>2017</v>
      </c>
      <c r="E233">
        <v>0</v>
      </c>
      <c r="F233">
        <v>1</v>
      </c>
      <c r="G233" t="s">
        <v>561</v>
      </c>
      <c r="H233" t="s">
        <v>769</v>
      </c>
      <c r="I233" t="s">
        <v>1087</v>
      </c>
      <c r="Z233" s="22" t="s">
        <v>2167</v>
      </c>
      <c r="AI233">
        <f t="shared" si="33"/>
        <v>0</v>
      </c>
      <c r="AJ233">
        <f t="shared" si="34"/>
        <v>0</v>
      </c>
      <c r="AK233">
        <f t="shared" ca="1" si="35"/>
        <v>0</v>
      </c>
      <c r="AL233">
        <f t="shared" ca="1" si="36"/>
        <v>0</v>
      </c>
      <c r="AM233">
        <f t="shared" ca="1" si="37"/>
        <v>1</v>
      </c>
      <c r="AN233">
        <f t="shared" ca="1" si="38"/>
        <v>0</v>
      </c>
      <c r="AO233">
        <f t="shared" ca="1" si="39"/>
        <v>0</v>
      </c>
      <c r="AP233">
        <f t="shared" ca="1" si="40"/>
        <v>1</v>
      </c>
      <c r="AQ233">
        <f t="shared" ca="1" si="41"/>
        <v>1</v>
      </c>
      <c r="AR233">
        <f t="shared" ca="1" si="42"/>
        <v>0</v>
      </c>
      <c r="AS233">
        <v>0</v>
      </c>
    </row>
    <row r="234" spans="1:45" x14ac:dyDescent="0.3">
      <c r="A234" s="1">
        <v>489</v>
      </c>
      <c r="C234" t="s">
        <v>435</v>
      </c>
      <c r="D234">
        <v>2018</v>
      </c>
      <c r="E234">
        <v>0</v>
      </c>
      <c r="F234">
        <v>1</v>
      </c>
      <c r="G234" t="s">
        <v>561</v>
      </c>
      <c r="H234" t="s">
        <v>770</v>
      </c>
      <c r="I234" t="s">
        <v>1088</v>
      </c>
      <c r="Z234" s="23" t="s">
        <v>2168</v>
      </c>
      <c r="AI234">
        <f t="shared" si="33"/>
        <v>0</v>
      </c>
      <c r="AJ234">
        <f t="shared" si="34"/>
        <v>1</v>
      </c>
      <c r="AK234">
        <f t="shared" ca="1" si="35"/>
        <v>0</v>
      </c>
      <c r="AL234">
        <f t="shared" ca="1" si="36"/>
        <v>1</v>
      </c>
      <c r="AM234">
        <f t="shared" ca="1" si="37"/>
        <v>0</v>
      </c>
      <c r="AN234">
        <f t="shared" ca="1" si="38"/>
        <v>0</v>
      </c>
      <c r="AO234">
        <f t="shared" ca="1" si="39"/>
        <v>1</v>
      </c>
      <c r="AP234">
        <f t="shared" ca="1" si="40"/>
        <v>0</v>
      </c>
      <c r="AQ234">
        <f t="shared" ca="1" si="41"/>
        <v>0</v>
      </c>
      <c r="AR234">
        <f t="shared" ca="1" si="42"/>
        <v>0</v>
      </c>
      <c r="AS234">
        <v>0</v>
      </c>
    </row>
    <row r="235" spans="1:45" x14ac:dyDescent="0.3">
      <c r="A235" s="1">
        <v>490</v>
      </c>
      <c r="C235" t="s">
        <v>436</v>
      </c>
      <c r="D235">
        <v>2018</v>
      </c>
      <c r="E235">
        <v>0</v>
      </c>
      <c r="F235">
        <v>2</v>
      </c>
      <c r="G235" t="s">
        <v>561</v>
      </c>
      <c r="H235" t="s">
        <v>771</v>
      </c>
      <c r="I235" t="s">
        <v>1089</v>
      </c>
      <c r="J235" t="s">
        <v>1343</v>
      </c>
      <c r="K235" t="s">
        <v>1566</v>
      </c>
      <c r="Z235" s="22" t="s">
        <v>2167</v>
      </c>
      <c r="AA235" s="22" t="s">
        <v>2167</v>
      </c>
      <c r="AI235">
        <f t="shared" si="33"/>
        <v>0</v>
      </c>
      <c r="AJ235">
        <f t="shared" si="34"/>
        <v>0</v>
      </c>
      <c r="AK235">
        <f t="shared" ca="1" si="35"/>
        <v>0</v>
      </c>
      <c r="AL235">
        <f t="shared" ca="1" si="36"/>
        <v>0</v>
      </c>
      <c r="AM235">
        <f t="shared" ca="1" si="37"/>
        <v>2</v>
      </c>
      <c r="AN235">
        <f t="shared" ca="1" si="38"/>
        <v>0</v>
      </c>
      <c r="AO235">
        <f t="shared" ca="1" si="39"/>
        <v>0</v>
      </c>
      <c r="AP235">
        <f t="shared" ca="1" si="40"/>
        <v>1</v>
      </c>
      <c r="AQ235">
        <f t="shared" ca="1" si="41"/>
        <v>1</v>
      </c>
      <c r="AR235">
        <f t="shared" ca="1" si="42"/>
        <v>0</v>
      </c>
      <c r="AS235">
        <v>0</v>
      </c>
    </row>
    <row r="236" spans="1:45" x14ac:dyDescent="0.3">
      <c r="A236" s="1">
        <v>491</v>
      </c>
      <c r="C236" t="s">
        <v>437</v>
      </c>
      <c r="D236">
        <v>2018</v>
      </c>
      <c r="E236">
        <v>0</v>
      </c>
      <c r="F236">
        <v>4</v>
      </c>
      <c r="G236" t="s">
        <v>561</v>
      </c>
      <c r="H236" t="s">
        <v>772</v>
      </c>
      <c r="I236" t="s">
        <v>1090</v>
      </c>
      <c r="J236" t="s">
        <v>862</v>
      </c>
      <c r="K236" t="s">
        <v>1173</v>
      </c>
      <c r="L236" t="s">
        <v>1741</v>
      </c>
      <c r="M236" t="s">
        <v>1890</v>
      </c>
      <c r="N236" t="s">
        <v>1976</v>
      </c>
      <c r="O236" t="s">
        <v>2035</v>
      </c>
      <c r="Z236" s="22" t="s">
        <v>2167</v>
      </c>
      <c r="AA236" s="22" t="s">
        <v>2167</v>
      </c>
      <c r="AB236" s="23" t="s">
        <v>2168</v>
      </c>
      <c r="AC236" s="21" t="s">
        <v>2166</v>
      </c>
      <c r="AI236">
        <f t="shared" si="33"/>
        <v>1</v>
      </c>
      <c r="AJ236">
        <f t="shared" si="34"/>
        <v>1</v>
      </c>
      <c r="AK236">
        <f t="shared" ca="1" si="35"/>
        <v>1</v>
      </c>
      <c r="AL236">
        <f t="shared" ca="1" si="36"/>
        <v>1</v>
      </c>
      <c r="AM236">
        <f t="shared" ca="1" si="37"/>
        <v>2</v>
      </c>
      <c r="AN236">
        <f t="shared" ca="1" si="38"/>
        <v>0</v>
      </c>
      <c r="AO236">
        <f t="shared" ca="1" si="39"/>
        <v>0</v>
      </c>
      <c r="AP236">
        <f t="shared" ca="1" si="40"/>
        <v>1</v>
      </c>
      <c r="AQ236">
        <f t="shared" ca="1" si="41"/>
        <v>1</v>
      </c>
      <c r="AR236">
        <f t="shared" ca="1" si="42"/>
        <v>0.25</v>
      </c>
      <c r="AS236">
        <v>0</v>
      </c>
    </row>
    <row r="237" spans="1:45" x14ac:dyDescent="0.3">
      <c r="A237" s="1">
        <v>492</v>
      </c>
      <c r="C237" t="s">
        <v>438</v>
      </c>
      <c r="D237">
        <v>2018</v>
      </c>
      <c r="E237">
        <v>0</v>
      </c>
      <c r="F237">
        <v>2</v>
      </c>
      <c r="G237" t="s">
        <v>561</v>
      </c>
      <c r="H237" t="s">
        <v>773</v>
      </c>
      <c r="I237" t="s">
        <v>1091</v>
      </c>
      <c r="J237" t="s">
        <v>1344</v>
      </c>
      <c r="K237" t="s">
        <v>1567</v>
      </c>
      <c r="Z237" s="22" t="s">
        <v>2167</v>
      </c>
      <c r="AA237" s="22" t="s">
        <v>2167</v>
      </c>
      <c r="AI237">
        <f t="shared" si="33"/>
        <v>0</v>
      </c>
      <c r="AJ237">
        <f t="shared" si="34"/>
        <v>0</v>
      </c>
      <c r="AK237">
        <f t="shared" ca="1" si="35"/>
        <v>0</v>
      </c>
      <c r="AL237">
        <f t="shared" ca="1" si="36"/>
        <v>0</v>
      </c>
      <c r="AM237">
        <f t="shared" ca="1" si="37"/>
        <v>2</v>
      </c>
      <c r="AN237">
        <f t="shared" ca="1" si="38"/>
        <v>0</v>
      </c>
      <c r="AO237">
        <f t="shared" ca="1" si="39"/>
        <v>0</v>
      </c>
      <c r="AP237">
        <f t="shared" ca="1" si="40"/>
        <v>1</v>
      </c>
      <c r="AQ237">
        <f t="shared" ca="1" si="41"/>
        <v>1</v>
      </c>
      <c r="AR237">
        <f t="shared" ca="1" si="42"/>
        <v>0</v>
      </c>
      <c r="AS237">
        <v>0</v>
      </c>
    </row>
    <row r="238" spans="1:45" x14ac:dyDescent="0.3">
      <c r="A238" s="1">
        <v>493</v>
      </c>
      <c r="C238" t="s">
        <v>439</v>
      </c>
      <c r="D238">
        <v>2018</v>
      </c>
      <c r="E238">
        <v>0</v>
      </c>
      <c r="F238">
        <v>2</v>
      </c>
      <c r="G238" t="s">
        <v>561</v>
      </c>
      <c r="H238" t="s">
        <v>732</v>
      </c>
      <c r="I238" t="s">
        <v>1051</v>
      </c>
      <c r="J238" t="s">
        <v>1345</v>
      </c>
      <c r="K238" t="s">
        <v>1568</v>
      </c>
      <c r="Z238" s="22" t="s">
        <v>2167</v>
      </c>
      <c r="AA238" s="22" t="s">
        <v>2167</v>
      </c>
      <c r="AI238">
        <f t="shared" si="33"/>
        <v>0</v>
      </c>
      <c r="AJ238">
        <f t="shared" si="34"/>
        <v>0</v>
      </c>
      <c r="AK238">
        <f t="shared" ca="1" si="35"/>
        <v>0</v>
      </c>
      <c r="AL238">
        <f t="shared" ca="1" si="36"/>
        <v>0</v>
      </c>
      <c r="AM238">
        <f t="shared" ca="1" si="37"/>
        <v>2</v>
      </c>
      <c r="AN238">
        <f t="shared" ca="1" si="38"/>
        <v>0</v>
      </c>
      <c r="AO238">
        <f t="shared" ca="1" si="39"/>
        <v>0</v>
      </c>
      <c r="AP238">
        <f t="shared" ca="1" si="40"/>
        <v>1</v>
      </c>
      <c r="AQ238">
        <f t="shared" ca="1" si="41"/>
        <v>1</v>
      </c>
      <c r="AR238">
        <f t="shared" ca="1" si="42"/>
        <v>0</v>
      </c>
      <c r="AS238">
        <v>0</v>
      </c>
    </row>
    <row r="239" spans="1:45" x14ac:dyDescent="0.3">
      <c r="A239" s="1">
        <v>494</v>
      </c>
      <c r="C239" t="s">
        <v>440</v>
      </c>
      <c r="D239">
        <v>2018</v>
      </c>
      <c r="E239">
        <v>0</v>
      </c>
      <c r="F239">
        <v>4</v>
      </c>
      <c r="G239" t="s">
        <v>561</v>
      </c>
      <c r="H239" t="s">
        <v>774</v>
      </c>
      <c r="I239" t="s">
        <v>1092</v>
      </c>
      <c r="J239" t="s">
        <v>1346</v>
      </c>
      <c r="K239" t="s">
        <v>1569</v>
      </c>
      <c r="L239" t="s">
        <v>1742</v>
      </c>
      <c r="M239" t="s">
        <v>1891</v>
      </c>
      <c r="N239" t="s">
        <v>1977</v>
      </c>
      <c r="O239" t="s">
        <v>2036</v>
      </c>
      <c r="Z239" s="23" t="s">
        <v>2168</v>
      </c>
      <c r="AA239" s="21" t="s">
        <v>2166</v>
      </c>
      <c r="AB239" s="23" t="s">
        <v>2168</v>
      </c>
      <c r="AC239" s="23" t="s">
        <v>2168</v>
      </c>
      <c r="AI239">
        <f t="shared" si="33"/>
        <v>1</v>
      </c>
      <c r="AJ239">
        <f t="shared" si="34"/>
        <v>3</v>
      </c>
      <c r="AK239">
        <f t="shared" ca="1" si="35"/>
        <v>1</v>
      </c>
      <c r="AL239">
        <f t="shared" ca="1" si="36"/>
        <v>3</v>
      </c>
      <c r="AM239">
        <f t="shared" ca="1" si="37"/>
        <v>0</v>
      </c>
      <c r="AN239">
        <f t="shared" ca="1" si="38"/>
        <v>0</v>
      </c>
      <c r="AO239">
        <f t="shared" ca="1" si="39"/>
        <v>0</v>
      </c>
      <c r="AP239">
        <f t="shared" ca="1" si="40"/>
        <v>0</v>
      </c>
      <c r="AQ239">
        <f t="shared" ca="1" si="41"/>
        <v>1</v>
      </c>
      <c r="AR239">
        <f t="shared" ca="1" si="42"/>
        <v>0.25</v>
      </c>
      <c r="AS239">
        <v>0</v>
      </c>
    </row>
    <row r="240" spans="1:45" x14ac:dyDescent="0.3">
      <c r="A240" s="1">
        <v>495</v>
      </c>
      <c r="B240" s="2" t="s">
        <v>193</v>
      </c>
      <c r="C240" t="s">
        <v>441</v>
      </c>
      <c r="D240">
        <v>2018</v>
      </c>
      <c r="E240">
        <v>0</v>
      </c>
      <c r="F240">
        <v>2</v>
      </c>
      <c r="G240" t="s">
        <v>561</v>
      </c>
      <c r="H240" t="s">
        <v>775</v>
      </c>
      <c r="I240" t="s">
        <v>1093</v>
      </c>
      <c r="J240" t="s">
        <v>1347</v>
      </c>
      <c r="K240" t="s">
        <v>1570</v>
      </c>
      <c r="Z240" s="21" t="s">
        <v>2166</v>
      </c>
      <c r="AA240" s="22" t="s">
        <v>2167</v>
      </c>
      <c r="AI240">
        <f t="shared" si="33"/>
        <v>1</v>
      </c>
      <c r="AJ240">
        <f t="shared" si="34"/>
        <v>0</v>
      </c>
      <c r="AK240">
        <f t="shared" ca="1" si="35"/>
        <v>1</v>
      </c>
      <c r="AL240">
        <f t="shared" ca="1" si="36"/>
        <v>0</v>
      </c>
      <c r="AM240">
        <f t="shared" ca="1" si="37"/>
        <v>1</v>
      </c>
      <c r="AN240">
        <f t="shared" ca="1" si="38"/>
        <v>0</v>
      </c>
      <c r="AO240">
        <f t="shared" ca="1" si="39"/>
        <v>0</v>
      </c>
      <c r="AP240">
        <f t="shared" ca="1" si="40"/>
        <v>1</v>
      </c>
      <c r="AQ240">
        <f t="shared" ca="1" si="41"/>
        <v>1</v>
      </c>
      <c r="AR240">
        <f t="shared" ca="1" si="42"/>
        <v>0.5</v>
      </c>
      <c r="AS240">
        <v>0</v>
      </c>
    </row>
    <row r="241" spans="1:45" x14ac:dyDescent="0.3">
      <c r="A241" s="1">
        <v>496</v>
      </c>
      <c r="C241" t="s">
        <v>442</v>
      </c>
      <c r="D241">
        <v>2018</v>
      </c>
      <c r="E241">
        <v>0</v>
      </c>
      <c r="F241">
        <v>2</v>
      </c>
      <c r="G241" t="s">
        <v>561</v>
      </c>
      <c r="H241" t="s">
        <v>776</v>
      </c>
      <c r="I241" t="s">
        <v>1094</v>
      </c>
      <c r="J241" t="s">
        <v>1348</v>
      </c>
      <c r="K241" t="s">
        <v>1571</v>
      </c>
      <c r="Z241" s="22" t="s">
        <v>2167</v>
      </c>
      <c r="AA241" s="22" t="s">
        <v>2167</v>
      </c>
      <c r="AI241">
        <f t="shared" si="33"/>
        <v>0</v>
      </c>
      <c r="AJ241">
        <f t="shared" si="34"/>
        <v>0</v>
      </c>
      <c r="AK241">
        <f t="shared" ca="1" si="35"/>
        <v>0</v>
      </c>
      <c r="AL241">
        <f t="shared" ca="1" si="36"/>
        <v>0</v>
      </c>
      <c r="AM241">
        <f t="shared" ca="1" si="37"/>
        <v>2</v>
      </c>
      <c r="AN241">
        <f t="shared" ca="1" si="38"/>
        <v>0</v>
      </c>
      <c r="AO241">
        <f t="shared" ca="1" si="39"/>
        <v>0</v>
      </c>
      <c r="AP241">
        <f t="shared" ca="1" si="40"/>
        <v>1</v>
      </c>
      <c r="AQ241">
        <f t="shared" ca="1" si="41"/>
        <v>1</v>
      </c>
      <c r="AR241">
        <f t="shared" ca="1" si="42"/>
        <v>0</v>
      </c>
      <c r="AS241">
        <v>0</v>
      </c>
    </row>
    <row r="242" spans="1:45" x14ac:dyDescent="0.3">
      <c r="A242" s="1">
        <v>497</v>
      </c>
      <c r="C242" t="s">
        <v>443</v>
      </c>
      <c r="D242">
        <v>2018</v>
      </c>
      <c r="E242">
        <v>0</v>
      </c>
      <c r="F242">
        <v>3</v>
      </c>
      <c r="G242" t="s">
        <v>561</v>
      </c>
      <c r="H242" t="s">
        <v>777</v>
      </c>
      <c r="I242" t="s">
        <v>1095</v>
      </c>
      <c r="J242" t="s">
        <v>1349</v>
      </c>
      <c r="K242" t="s">
        <v>1572</v>
      </c>
      <c r="L242" t="s">
        <v>1743</v>
      </c>
      <c r="M242" t="s">
        <v>1892</v>
      </c>
      <c r="Z242" s="22" t="s">
        <v>2167</v>
      </c>
      <c r="AA242" s="22" t="s">
        <v>2167</v>
      </c>
      <c r="AB242" s="22" t="s">
        <v>2167</v>
      </c>
      <c r="AI242">
        <f t="shared" si="33"/>
        <v>0</v>
      </c>
      <c r="AJ242">
        <f t="shared" si="34"/>
        <v>0</v>
      </c>
      <c r="AK242">
        <f t="shared" ca="1" si="35"/>
        <v>0</v>
      </c>
      <c r="AL242">
        <f t="shared" ca="1" si="36"/>
        <v>0</v>
      </c>
      <c r="AM242">
        <f t="shared" ca="1" si="37"/>
        <v>3</v>
      </c>
      <c r="AN242">
        <f t="shared" ca="1" si="38"/>
        <v>0</v>
      </c>
      <c r="AO242">
        <f t="shared" ca="1" si="39"/>
        <v>0</v>
      </c>
      <c r="AP242">
        <f t="shared" ca="1" si="40"/>
        <v>1</v>
      </c>
      <c r="AQ242">
        <f t="shared" ca="1" si="41"/>
        <v>1</v>
      </c>
      <c r="AR242">
        <f t="shared" ca="1" si="42"/>
        <v>0</v>
      </c>
      <c r="AS242">
        <v>0</v>
      </c>
    </row>
    <row r="243" spans="1:45" x14ac:dyDescent="0.3">
      <c r="A243" s="1">
        <v>498</v>
      </c>
      <c r="C243" t="s">
        <v>444</v>
      </c>
      <c r="D243">
        <v>2018</v>
      </c>
      <c r="E243">
        <v>0</v>
      </c>
      <c r="F243">
        <v>3</v>
      </c>
      <c r="G243" t="s">
        <v>561</v>
      </c>
      <c r="H243" t="s">
        <v>778</v>
      </c>
      <c r="I243" t="s">
        <v>1096</v>
      </c>
      <c r="J243" t="s">
        <v>1350</v>
      </c>
      <c r="K243" t="s">
        <v>1573</v>
      </c>
      <c r="L243" t="s">
        <v>1744</v>
      </c>
      <c r="M243" t="s">
        <v>1893</v>
      </c>
      <c r="Z243" s="22" t="s">
        <v>2167</v>
      </c>
      <c r="AA243" s="22" t="s">
        <v>2167</v>
      </c>
      <c r="AB243" s="22" t="s">
        <v>2167</v>
      </c>
      <c r="AI243">
        <f t="shared" si="33"/>
        <v>0</v>
      </c>
      <c r="AJ243">
        <f t="shared" si="34"/>
        <v>0</v>
      </c>
      <c r="AK243">
        <f t="shared" ca="1" si="35"/>
        <v>0</v>
      </c>
      <c r="AL243">
        <f t="shared" ca="1" si="36"/>
        <v>0</v>
      </c>
      <c r="AM243">
        <f t="shared" ca="1" si="37"/>
        <v>3</v>
      </c>
      <c r="AN243">
        <f t="shared" ca="1" si="38"/>
        <v>0</v>
      </c>
      <c r="AO243">
        <f t="shared" ca="1" si="39"/>
        <v>0</v>
      </c>
      <c r="AP243">
        <f t="shared" ca="1" si="40"/>
        <v>1</v>
      </c>
      <c r="AQ243">
        <f t="shared" ca="1" si="41"/>
        <v>1</v>
      </c>
      <c r="AR243">
        <f t="shared" ca="1" si="42"/>
        <v>0</v>
      </c>
      <c r="AS243">
        <v>0</v>
      </c>
    </row>
    <row r="244" spans="1:45" x14ac:dyDescent="0.3">
      <c r="A244" s="1">
        <v>499</v>
      </c>
      <c r="C244" t="s">
        <v>445</v>
      </c>
      <c r="D244">
        <v>2018</v>
      </c>
      <c r="E244">
        <v>0</v>
      </c>
      <c r="F244">
        <v>1</v>
      </c>
      <c r="G244" t="s">
        <v>561</v>
      </c>
      <c r="H244" t="s">
        <v>722</v>
      </c>
      <c r="I244" t="s">
        <v>1042</v>
      </c>
      <c r="Z244" s="22" t="s">
        <v>2167</v>
      </c>
      <c r="AI244">
        <f t="shared" si="33"/>
        <v>0</v>
      </c>
      <c r="AJ244">
        <f t="shared" si="34"/>
        <v>0</v>
      </c>
      <c r="AK244">
        <f t="shared" ca="1" si="35"/>
        <v>0</v>
      </c>
      <c r="AL244">
        <f t="shared" ca="1" si="36"/>
        <v>0</v>
      </c>
      <c r="AM244">
        <f t="shared" ca="1" si="37"/>
        <v>1</v>
      </c>
      <c r="AN244">
        <f t="shared" ca="1" si="38"/>
        <v>0</v>
      </c>
      <c r="AO244">
        <f t="shared" ca="1" si="39"/>
        <v>0</v>
      </c>
      <c r="AP244">
        <f t="shared" ca="1" si="40"/>
        <v>1</v>
      </c>
      <c r="AQ244">
        <f t="shared" ca="1" si="41"/>
        <v>1</v>
      </c>
      <c r="AR244">
        <f t="shared" ca="1" si="42"/>
        <v>0</v>
      </c>
      <c r="AS244">
        <v>0</v>
      </c>
    </row>
    <row r="245" spans="1:45" x14ac:dyDescent="0.3">
      <c r="A245" s="1">
        <v>500</v>
      </c>
      <c r="C245" t="s">
        <v>446</v>
      </c>
      <c r="D245">
        <v>2018</v>
      </c>
      <c r="E245">
        <v>0</v>
      </c>
      <c r="F245">
        <v>1</v>
      </c>
      <c r="G245" t="s">
        <v>561</v>
      </c>
      <c r="H245" t="s">
        <v>706</v>
      </c>
      <c r="I245" t="s">
        <v>1027</v>
      </c>
      <c r="Z245" s="22" t="s">
        <v>2167</v>
      </c>
      <c r="AI245">
        <f t="shared" si="33"/>
        <v>0</v>
      </c>
      <c r="AJ245">
        <f t="shared" si="34"/>
        <v>0</v>
      </c>
      <c r="AK245">
        <f t="shared" ca="1" si="35"/>
        <v>0</v>
      </c>
      <c r="AL245">
        <f t="shared" ca="1" si="36"/>
        <v>0</v>
      </c>
      <c r="AM245">
        <f t="shared" ca="1" si="37"/>
        <v>1</v>
      </c>
      <c r="AN245">
        <f t="shared" ca="1" si="38"/>
        <v>0</v>
      </c>
      <c r="AO245">
        <f t="shared" ca="1" si="39"/>
        <v>0</v>
      </c>
      <c r="AP245">
        <f t="shared" ca="1" si="40"/>
        <v>1</v>
      </c>
      <c r="AQ245">
        <f t="shared" ca="1" si="41"/>
        <v>1</v>
      </c>
      <c r="AR245">
        <f t="shared" ca="1" si="42"/>
        <v>0</v>
      </c>
      <c r="AS245">
        <v>0</v>
      </c>
    </row>
    <row r="246" spans="1:45" x14ac:dyDescent="0.3">
      <c r="A246" s="1">
        <v>501</v>
      </c>
      <c r="C246" t="s">
        <v>447</v>
      </c>
      <c r="D246">
        <v>2018</v>
      </c>
      <c r="E246">
        <v>0</v>
      </c>
      <c r="F246">
        <v>1</v>
      </c>
      <c r="G246" t="s">
        <v>561</v>
      </c>
      <c r="H246" t="s">
        <v>779</v>
      </c>
      <c r="I246" t="s">
        <v>1097</v>
      </c>
      <c r="Z246" s="22" t="s">
        <v>2167</v>
      </c>
      <c r="AI246">
        <f t="shared" si="33"/>
        <v>0</v>
      </c>
      <c r="AJ246">
        <f t="shared" si="34"/>
        <v>0</v>
      </c>
      <c r="AK246">
        <f t="shared" ca="1" si="35"/>
        <v>0</v>
      </c>
      <c r="AL246">
        <f t="shared" ca="1" si="36"/>
        <v>0</v>
      </c>
      <c r="AM246">
        <f t="shared" ca="1" si="37"/>
        <v>1</v>
      </c>
      <c r="AN246">
        <f t="shared" ca="1" si="38"/>
        <v>0</v>
      </c>
      <c r="AO246">
        <f t="shared" ca="1" si="39"/>
        <v>0</v>
      </c>
      <c r="AP246">
        <f t="shared" ca="1" si="40"/>
        <v>1</v>
      </c>
      <c r="AQ246">
        <f t="shared" ca="1" si="41"/>
        <v>1</v>
      </c>
      <c r="AR246">
        <f t="shared" ca="1" si="42"/>
        <v>0</v>
      </c>
      <c r="AS246">
        <v>0</v>
      </c>
    </row>
    <row r="247" spans="1:45" x14ac:dyDescent="0.3">
      <c r="A247" s="1">
        <v>502</v>
      </c>
      <c r="C247" t="s">
        <v>448</v>
      </c>
      <c r="D247">
        <v>2018</v>
      </c>
      <c r="E247">
        <v>0</v>
      </c>
      <c r="F247">
        <v>3</v>
      </c>
      <c r="G247" t="s">
        <v>561</v>
      </c>
      <c r="H247" t="s">
        <v>780</v>
      </c>
      <c r="I247" t="s">
        <v>1098</v>
      </c>
      <c r="J247" t="s">
        <v>1351</v>
      </c>
      <c r="K247" t="s">
        <v>1574</v>
      </c>
      <c r="L247" t="s">
        <v>1745</v>
      </c>
      <c r="M247" t="s">
        <v>1894</v>
      </c>
      <c r="Z247" s="22" t="s">
        <v>2167</v>
      </c>
      <c r="AA247" s="23" t="s">
        <v>2168</v>
      </c>
      <c r="AB247" s="22" t="s">
        <v>2167</v>
      </c>
      <c r="AI247">
        <f t="shared" si="33"/>
        <v>0</v>
      </c>
      <c r="AJ247">
        <f t="shared" si="34"/>
        <v>1</v>
      </c>
      <c r="AK247">
        <f t="shared" ca="1" si="35"/>
        <v>0</v>
      </c>
      <c r="AL247">
        <f t="shared" ca="1" si="36"/>
        <v>1</v>
      </c>
      <c r="AM247">
        <f t="shared" ca="1" si="37"/>
        <v>2</v>
      </c>
      <c r="AN247">
        <f t="shared" ca="1" si="38"/>
        <v>0</v>
      </c>
      <c r="AO247">
        <f t="shared" ca="1" si="39"/>
        <v>0</v>
      </c>
      <c r="AP247">
        <f t="shared" ca="1" si="40"/>
        <v>1</v>
      </c>
      <c r="AQ247">
        <f t="shared" ca="1" si="41"/>
        <v>1</v>
      </c>
      <c r="AR247">
        <f t="shared" ca="1" si="42"/>
        <v>0</v>
      </c>
      <c r="AS247">
        <v>0</v>
      </c>
    </row>
    <row r="248" spans="1:45" x14ac:dyDescent="0.3">
      <c r="A248" s="1">
        <v>503</v>
      </c>
      <c r="C248" t="s">
        <v>449</v>
      </c>
      <c r="D248">
        <v>2018</v>
      </c>
      <c r="E248">
        <v>0</v>
      </c>
      <c r="F248">
        <v>3</v>
      </c>
      <c r="G248" t="s">
        <v>561</v>
      </c>
      <c r="H248" t="s">
        <v>781</v>
      </c>
      <c r="I248" t="s">
        <v>1099</v>
      </c>
      <c r="J248" t="s">
        <v>1352</v>
      </c>
      <c r="K248" t="s">
        <v>1575</v>
      </c>
      <c r="L248" t="s">
        <v>1746</v>
      </c>
      <c r="M248" t="s">
        <v>1895</v>
      </c>
      <c r="Z248" s="22" t="s">
        <v>2167</v>
      </c>
      <c r="AA248" s="21" t="s">
        <v>2166</v>
      </c>
      <c r="AB248" s="22" t="s">
        <v>2167</v>
      </c>
      <c r="AI248">
        <f t="shared" si="33"/>
        <v>1</v>
      </c>
      <c r="AJ248">
        <f t="shared" si="34"/>
        <v>0</v>
      </c>
      <c r="AK248">
        <f t="shared" ca="1" si="35"/>
        <v>1</v>
      </c>
      <c r="AL248">
        <f t="shared" ca="1" si="36"/>
        <v>0</v>
      </c>
      <c r="AM248">
        <f t="shared" ca="1" si="37"/>
        <v>2</v>
      </c>
      <c r="AN248">
        <f t="shared" ca="1" si="38"/>
        <v>0</v>
      </c>
      <c r="AO248">
        <f t="shared" ca="1" si="39"/>
        <v>0</v>
      </c>
      <c r="AP248">
        <f t="shared" ca="1" si="40"/>
        <v>1</v>
      </c>
      <c r="AQ248">
        <f t="shared" ca="1" si="41"/>
        <v>1</v>
      </c>
      <c r="AR248">
        <f t="shared" ca="1" si="42"/>
        <v>0.33333333333333331</v>
      </c>
      <c r="AS248">
        <v>0</v>
      </c>
    </row>
    <row r="249" spans="1:45" x14ac:dyDescent="0.3">
      <c r="A249" s="1">
        <v>504</v>
      </c>
      <c r="C249" t="s">
        <v>450</v>
      </c>
      <c r="D249">
        <v>2018</v>
      </c>
      <c r="E249">
        <v>0</v>
      </c>
      <c r="F249">
        <v>1</v>
      </c>
      <c r="G249" t="s">
        <v>561</v>
      </c>
      <c r="H249" t="s">
        <v>782</v>
      </c>
      <c r="I249" t="s">
        <v>1100</v>
      </c>
      <c r="Z249" s="22" t="s">
        <v>2167</v>
      </c>
      <c r="AI249">
        <f t="shared" si="33"/>
        <v>0</v>
      </c>
      <c r="AJ249">
        <f t="shared" si="34"/>
        <v>0</v>
      </c>
      <c r="AK249">
        <f t="shared" ca="1" si="35"/>
        <v>0</v>
      </c>
      <c r="AL249">
        <f t="shared" ca="1" si="36"/>
        <v>0</v>
      </c>
      <c r="AM249">
        <f t="shared" ca="1" si="37"/>
        <v>1</v>
      </c>
      <c r="AN249">
        <f t="shared" ca="1" si="38"/>
        <v>0</v>
      </c>
      <c r="AO249">
        <f t="shared" ca="1" si="39"/>
        <v>0</v>
      </c>
      <c r="AP249">
        <f t="shared" ca="1" si="40"/>
        <v>1</v>
      </c>
      <c r="AQ249">
        <f t="shared" ca="1" si="41"/>
        <v>1</v>
      </c>
      <c r="AR249">
        <f t="shared" ca="1" si="42"/>
        <v>0</v>
      </c>
      <c r="AS249">
        <v>0</v>
      </c>
    </row>
    <row r="250" spans="1:45" x14ac:dyDescent="0.3">
      <c r="A250" s="1">
        <v>505</v>
      </c>
      <c r="C250" t="s">
        <v>451</v>
      </c>
      <c r="D250">
        <v>2018</v>
      </c>
      <c r="E250">
        <v>0</v>
      </c>
      <c r="F250">
        <v>2</v>
      </c>
      <c r="G250" t="s">
        <v>561</v>
      </c>
      <c r="H250" t="s">
        <v>783</v>
      </c>
      <c r="I250" t="s">
        <v>1101</v>
      </c>
      <c r="J250" t="s">
        <v>1353</v>
      </c>
      <c r="K250" t="s">
        <v>1576</v>
      </c>
      <c r="Z250" s="22" t="s">
        <v>2167</v>
      </c>
      <c r="AA250" s="22" t="s">
        <v>2167</v>
      </c>
      <c r="AI250">
        <f t="shared" si="33"/>
        <v>0</v>
      </c>
      <c r="AJ250">
        <f t="shared" si="34"/>
        <v>0</v>
      </c>
      <c r="AK250">
        <f t="shared" ca="1" si="35"/>
        <v>0</v>
      </c>
      <c r="AL250">
        <f t="shared" ca="1" si="36"/>
        <v>0</v>
      </c>
      <c r="AM250">
        <f t="shared" ca="1" si="37"/>
        <v>2</v>
      </c>
      <c r="AN250">
        <f t="shared" ca="1" si="38"/>
        <v>0</v>
      </c>
      <c r="AO250">
        <f t="shared" ca="1" si="39"/>
        <v>0</v>
      </c>
      <c r="AP250">
        <f t="shared" ca="1" si="40"/>
        <v>1</v>
      </c>
      <c r="AQ250">
        <f t="shared" ca="1" si="41"/>
        <v>1</v>
      </c>
      <c r="AR250">
        <f t="shared" ca="1" si="42"/>
        <v>0</v>
      </c>
      <c r="AS250">
        <v>0</v>
      </c>
    </row>
    <row r="251" spans="1:45" x14ac:dyDescent="0.3">
      <c r="A251" s="1">
        <v>506</v>
      </c>
      <c r="C251" t="s">
        <v>452</v>
      </c>
      <c r="D251">
        <v>2018</v>
      </c>
      <c r="E251">
        <v>0</v>
      </c>
      <c r="F251">
        <v>5</v>
      </c>
      <c r="G251" t="s">
        <v>561</v>
      </c>
      <c r="H251" t="s">
        <v>766</v>
      </c>
      <c r="I251" t="s">
        <v>1084</v>
      </c>
      <c r="J251" t="s">
        <v>1354</v>
      </c>
      <c r="K251" t="s">
        <v>1577</v>
      </c>
      <c r="L251" t="s">
        <v>1747</v>
      </c>
      <c r="M251" t="s">
        <v>1896</v>
      </c>
      <c r="N251" t="s">
        <v>1978</v>
      </c>
      <c r="O251" t="s">
        <v>2037</v>
      </c>
      <c r="P251" t="s">
        <v>2071</v>
      </c>
      <c r="Q251" t="s">
        <v>2096</v>
      </c>
      <c r="Z251" s="21" t="s">
        <v>2166</v>
      </c>
      <c r="AA251" s="23" t="s">
        <v>2168</v>
      </c>
      <c r="AB251" s="21" t="s">
        <v>2166</v>
      </c>
      <c r="AC251" s="22" t="s">
        <v>2167</v>
      </c>
      <c r="AD251" s="22" t="s">
        <v>2167</v>
      </c>
      <c r="AI251">
        <f t="shared" si="33"/>
        <v>2</v>
      </c>
      <c r="AJ251">
        <f t="shared" si="34"/>
        <v>1</v>
      </c>
      <c r="AK251">
        <f t="shared" ca="1" si="35"/>
        <v>2</v>
      </c>
      <c r="AL251">
        <f t="shared" ca="1" si="36"/>
        <v>1</v>
      </c>
      <c r="AM251">
        <f t="shared" ca="1" si="37"/>
        <v>2</v>
      </c>
      <c r="AN251">
        <f t="shared" ca="1" si="38"/>
        <v>0</v>
      </c>
      <c r="AO251">
        <f t="shared" ca="1" si="39"/>
        <v>0</v>
      </c>
      <c r="AP251">
        <f t="shared" ca="1" si="40"/>
        <v>1</v>
      </c>
      <c r="AQ251">
        <f t="shared" ca="1" si="41"/>
        <v>1</v>
      </c>
      <c r="AR251">
        <f t="shared" ca="1" si="42"/>
        <v>8.0000000000000016E-2</v>
      </c>
      <c r="AS251">
        <v>0</v>
      </c>
    </row>
    <row r="252" spans="1:45" x14ac:dyDescent="0.3">
      <c r="A252" s="1">
        <v>507</v>
      </c>
      <c r="C252" t="s">
        <v>453</v>
      </c>
      <c r="D252">
        <v>2018</v>
      </c>
      <c r="E252">
        <v>0</v>
      </c>
      <c r="F252">
        <v>4</v>
      </c>
      <c r="G252" t="s">
        <v>561</v>
      </c>
      <c r="H252" t="s">
        <v>784</v>
      </c>
      <c r="I252" t="s">
        <v>1102</v>
      </c>
      <c r="J252" t="s">
        <v>1355</v>
      </c>
      <c r="K252" t="s">
        <v>1578</v>
      </c>
      <c r="L252" t="s">
        <v>1748</v>
      </c>
      <c r="M252" t="s">
        <v>1897</v>
      </c>
      <c r="N252" t="s">
        <v>1979</v>
      </c>
      <c r="O252" t="s">
        <v>2038</v>
      </c>
      <c r="Z252" s="23" t="s">
        <v>2168</v>
      </c>
      <c r="AA252" s="23" t="s">
        <v>2168</v>
      </c>
      <c r="AB252" s="23" t="s">
        <v>2168</v>
      </c>
      <c r="AC252" s="23" t="s">
        <v>2168</v>
      </c>
      <c r="AI252">
        <f t="shared" si="33"/>
        <v>0</v>
      </c>
      <c r="AJ252">
        <f t="shared" si="34"/>
        <v>4</v>
      </c>
      <c r="AK252">
        <f t="shared" ca="1" si="35"/>
        <v>0</v>
      </c>
      <c r="AL252">
        <f t="shared" ca="1" si="36"/>
        <v>4</v>
      </c>
      <c r="AM252">
        <f t="shared" ca="1" si="37"/>
        <v>0</v>
      </c>
      <c r="AN252">
        <f t="shared" ca="1" si="38"/>
        <v>0</v>
      </c>
      <c r="AO252">
        <f t="shared" ca="1" si="39"/>
        <v>1</v>
      </c>
      <c r="AP252">
        <f t="shared" ca="1" si="40"/>
        <v>0</v>
      </c>
      <c r="AQ252">
        <f t="shared" ca="1" si="41"/>
        <v>0</v>
      </c>
      <c r="AR252">
        <f t="shared" ca="1" si="42"/>
        <v>0</v>
      </c>
      <c r="AS252">
        <v>0</v>
      </c>
    </row>
    <row r="253" spans="1:45" x14ac:dyDescent="0.3">
      <c r="A253" s="1">
        <v>508</v>
      </c>
      <c r="C253" t="s">
        <v>454</v>
      </c>
      <c r="D253">
        <v>2018</v>
      </c>
      <c r="E253">
        <v>0</v>
      </c>
      <c r="F253">
        <v>1</v>
      </c>
      <c r="G253" t="s">
        <v>561</v>
      </c>
      <c r="H253" t="s">
        <v>785</v>
      </c>
      <c r="I253" t="s">
        <v>1103</v>
      </c>
      <c r="Z253" s="23" t="s">
        <v>2168</v>
      </c>
      <c r="AI253">
        <f t="shared" si="33"/>
        <v>0</v>
      </c>
      <c r="AJ253">
        <f t="shared" si="34"/>
        <v>1</v>
      </c>
      <c r="AK253">
        <f t="shared" ca="1" si="35"/>
        <v>0</v>
      </c>
      <c r="AL253">
        <f t="shared" ca="1" si="36"/>
        <v>1</v>
      </c>
      <c r="AM253">
        <f t="shared" ca="1" si="37"/>
        <v>0</v>
      </c>
      <c r="AN253">
        <f t="shared" ca="1" si="38"/>
        <v>0</v>
      </c>
      <c r="AO253">
        <f t="shared" ca="1" si="39"/>
        <v>1</v>
      </c>
      <c r="AP253">
        <f t="shared" ca="1" si="40"/>
        <v>0</v>
      </c>
      <c r="AQ253">
        <f t="shared" ca="1" si="41"/>
        <v>0</v>
      </c>
      <c r="AR253">
        <f t="shared" ca="1" si="42"/>
        <v>0</v>
      </c>
      <c r="AS253">
        <v>0</v>
      </c>
    </row>
    <row r="254" spans="1:45" x14ac:dyDescent="0.3">
      <c r="A254" s="1">
        <v>509</v>
      </c>
      <c r="B254" s="2" t="s">
        <v>194</v>
      </c>
      <c r="C254" t="s">
        <v>455</v>
      </c>
      <c r="D254">
        <v>2018</v>
      </c>
      <c r="E254">
        <v>0</v>
      </c>
      <c r="F254">
        <v>1</v>
      </c>
      <c r="G254" t="s">
        <v>561</v>
      </c>
      <c r="H254" t="s">
        <v>786</v>
      </c>
      <c r="I254" t="s">
        <v>1104</v>
      </c>
      <c r="Z254" s="21" t="s">
        <v>2166</v>
      </c>
      <c r="AI254">
        <f t="shared" si="33"/>
        <v>1</v>
      </c>
      <c r="AJ254">
        <f t="shared" si="34"/>
        <v>0</v>
      </c>
      <c r="AK254">
        <f t="shared" ca="1" si="35"/>
        <v>1</v>
      </c>
      <c r="AL254">
        <f t="shared" ca="1" si="36"/>
        <v>0</v>
      </c>
      <c r="AM254">
        <f t="shared" ca="1" si="37"/>
        <v>0</v>
      </c>
      <c r="AN254">
        <f t="shared" ca="1" si="38"/>
        <v>1</v>
      </c>
      <c r="AO254">
        <f t="shared" ca="1" si="39"/>
        <v>0</v>
      </c>
      <c r="AP254">
        <f t="shared" ca="1" si="40"/>
        <v>0</v>
      </c>
      <c r="AQ254">
        <f t="shared" ca="1" si="41"/>
        <v>0</v>
      </c>
      <c r="AR254">
        <f t="shared" ca="1" si="42"/>
        <v>1</v>
      </c>
      <c r="AS254">
        <v>0</v>
      </c>
    </row>
    <row r="255" spans="1:45" x14ac:dyDescent="0.3">
      <c r="A255" s="1">
        <v>510</v>
      </c>
      <c r="C255" t="s">
        <v>456</v>
      </c>
      <c r="D255">
        <v>2018</v>
      </c>
      <c r="E255">
        <v>0</v>
      </c>
      <c r="F255">
        <v>1</v>
      </c>
      <c r="G255" t="s">
        <v>561</v>
      </c>
      <c r="H255" t="s">
        <v>787</v>
      </c>
      <c r="I255" t="s">
        <v>1105</v>
      </c>
      <c r="Z255" s="22" t="s">
        <v>2167</v>
      </c>
      <c r="AI255">
        <f t="shared" si="33"/>
        <v>0</v>
      </c>
      <c r="AJ255">
        <f t="shared" si="34"/>
        <v>0</v>
      </c>
      <c r="AK255">
        <f t="shared" ca="1" si="35"/>
        <v>0</v>
      </c>
      <c r="AL255">
        <f t="shared" ca="1" si="36"/>
        <v>0</v>
      </c>
      <c r="AM255">
        <f t="shared" ca="1" si="37"/>
        <v>1</v>
      </c>
      <c r="AN255">
        <f t="shared" ca="1" si="38"/>
        <v>0</v>
      </c>
      <c r="AO255">
        <f t="shared" ca="1" si="39"/>
        <v>0</v>
      </c>
      <c r="AP255">
        <f t="shared" ca="1" si="40"/>
        <v>1</v>
      </c>
      <c r="AQ255">
        <f t="shared" ca="1" si="41"/>
        <v>1</v>
      </c>
      <c r="AR255">
        <f t="shared" ca="1" si="42"/>
        <v>0</v>
      </c>
      <c r="AS255">
        <v>0</v>
      </c>
    </row>
    <row r="256" spans="1:45" x14ac:dyDescent="0.3">
      <c r="A256" s="1">
        <v>511</v>
      </c>
      <c r="C256" t="s">
        <v>457</v>
      </c>
      <c r="D256">
        <v>2018</v>
      </c>
      <c r="E256">
        <v>0</v>
      </c>
      <c r="F256">
        <v>2</v>
      </c>
      <c r="G256" t="s">
        <v>561</v>
      </c>
      <c r="H256" t="s">
        <v>788</v>
      </c>
      <c r="I256" t="s">
        <v>1106</v>
      </c>
      <c r="J256" t="s">
        <v>1356</v>
      </c>
      <c r="K256" t="s">
        <v>1579</v>
      </c>
      <c r="Z256" s="22" t="s">
        <v>2167</v>
      </c>
      <c r="AA256" s="22" t="s">
        <v>2167</v>
      </c>
      <c r="AI256">
        <f t="shared" si="33"/>
        <v>0</v>
      </c>
      <c r="AJ256">
        <f t="shared" si="34"/>
        <v>0</v>
      </c>
      <c r="AK256">
        <f t="shared" ca="1" si="35"/>
        <v>0</v>
      </c>
      <c r="AL256">
        <f t="shared" ca="1" si="36"/>
        <v>0</v>
      </c>
      <c r="AM256">
        <f t="shared" ca="1" si="37"/>
        <v>2</v>
      </c>
      <c r="AN256">
        <f t="shared" ca="1" si="38"/>
        <v>0</v>
      </c>
      <c r="AO256">
        <f t="shared" ca="1" si="39"/>
        <v>0</v>
      </c>
      <c r="AP256">
        <f t="shared" ca="1" si="40"/>
        <v>1</v>
      </c>
      <c r="AQ256">
        <f t="shared" ca="1" si="41"/>
        <v>1</v>
      </c>
      <c r="AR256">
        <f t="shared" ca="1" si="42"/>
        <v>0</v>
      </c>
      <c r="AS256">
        <v>0</v>
      </c>
    </row>
    <row r="257" spans="1:45" x14ac:dyDescent="0.3">
      <c r="A257" s="1">
        <v>512</v>
      </c>
      <c r="C257" t="s">
        <v>458</v>
      </c>
      <c r="D257">
        <v>2018</v>
      </c>
      <c r="E257">
        <v>0</v>
      </c>
      <c r="F257">
        <v>1</v>
      </c>
      <c r="G257" t="s">
        <v>561</v>
      </c>
      <c r="H257" t="s">
        <v>789</v>
      </c>
      <c r="I257" t="s">
        <v>1107</v>
      </c>
      <c r="Z257" s="22" t="s">
        <v>2167</v>
      </c>
      <c r="AI257">
        <f t="shared" si="33"/>
        <v>0</v>
      </c>
      <c r="AJ257">
        <f t="shared" si="34"/>
        <v>0</v>
      </c>
      <c r="AK257">
        <f t="shared" ca="1" si="35"/>
        <v>0</v>
      </c>
      <c r="AL257">
        <f t="shared" ca="1" si="36"/>
        <v>0</v>
      </c>
      <c r="AM257">
        <f t="shared" ca="1" si="37"/>
        <v>1</v>
      </c>
      <c r="AN257">
        <f t="shared" ca="1" si="38"/>
        <v>0</v>
      </c>
      <c r="AO257">
        <f t="shared" ca="1" si="39"/>
        <v>0</v>
      </c>
      <c r="AP257">
        <f t="shared" ca="1" si="40"/>
        <v>1</v>
      </c>
      <c r="AQ257">
        <f t="shared" ca="1" si="41"/>
        <v>1</v>
      </c>
      <c r="AR257">
        <f t="shared" ca="1" si="42"/>
        <v>0</v>
      </c>
      <c r="AS257">
        <v>0</v>
      </c>
    </row>
    <row r="258" spans="1:45" x14ac:dyDescent="0.3">
      <c r="A258" s="1">
        <v>513</v>
      </c>
      <c r="C258" t="s">
        <v>459</v>
      </c>
      <c r="D258">
        <v>2018</v>
      </c>
      <c r="E258">
        <v>0</v>
      </c>
      <c r="F258">
        <v>1</v>
      </c>
      <c r="G258" t="s">
        <v>561</v>
      </c>
      <c r="H258" t="s">
        <v>790</v>
      </c>
      <c r="I258" t="s">
        <v>1108</v>
      </c>
      <c r="Z258" s="23" t="s">
        <v>2168</v>
      </c>
      <c r="AI258">
        <f t="shared" si="33"/>
        <v>0</v>
      </c>
      <c r="AJ258">
        <f t="shared" si="34"/>
        <v>1</v>
      </c>
      <c r="AK258">
        <f t="shared" ca="1" si="35"/>
        <v>0</v>
      </c>
      <c r="AL258">
        <f t="shared" ca="1" si="36"/>
        <v>1</v>
      </c>
      <c r="AM258">
        <f t="shared" ca="1" si="37"/>
        <v>0</v>
      </c>
      <c r="AN258">
        <f t="shared" ca="1" si="38"/>
        <v>0</v>
      </c>
      <c r="AO258">
        <f t="shared" ca="1" si="39"/>
        <v>1</v>
      </c>
      <c r="AP258">
        <f t="shared" ca="1" si="40"/>
        <v>0</v>
      </c>
      <c r="AQ258">
        <f t="shared" ca="1" si="41"/>
        <v>0</v>
      </c>
      <c r="AR258">
        <f t="shared" ca="1" si="42"/>
        <v>0</v>
      </c>
      <c r="AS258">
        <v>0</v>
      </c>
    </row>
    <row r="259" spans="1:45" x14ac:dyDescent="0.3">
      <c r="A259" s="1">
        <v>514</v>
      </c>
      <c r="C259" t="s">
        <v>460</v>
      </c>
      <c r="D259">
        <v>2018</v>
      </c>
      <c r="E259">
        <v>0</v>
      </c>
      <c r="F259">
        <v>1</v>
      </c>
      <c r="G259" t="s">
        <v>561</v>
      </c>
      <c r="H259" t="s">
        <v>791</v>
      </c>
      <c r="I259" t="s">
        <v>1109</v>
      </c>
      <c r="Z259" s="23" t="s">
        <v>2168</v>
      </c>
      <c r="AI259">
        <f t="shared" ref="AI259:AI322" si="43">COUNTIF(Z259:AH259,"f")</f>
        <v>0</v>
      </c>
      <c r="AJ259">
        <f t="shared" ref="AJ259:AJ322" si="44">COUNTIF(Z259:AI259,"m")</f>
        <v>1</v>
      </c>
      <c r="AK259">
        <f t="shared" ref="AK259:AK322" ca="1" si="45">CountCellsByColor(Z259:AH259,$Z$2)</f>
        <v>0</v>
      </c>
      <c r="AL259">
        <f t="shared" ref="AL259:AL322" ca="1" si="46">CountCellsByColor(Z259:AH259,$Z$4)</f>
        <v>1</v>
      </c>
      <c r="AM259">
        <f t="shared" ref="AM259:AM322" ca="1" si="47">CountCellsByColor(Z259:AH259,$Z$3)</f>
        <v>0</v>
      </c>
      <c r="AN259">
        <f t="shared" ref="AN259:AN322" ca="1" si="48">IF(AK259=F259,1,0)</f>
        <v>0</v>
      </c>
      <c r="AO259">
        <f t="shared" ref="AO259:AO322" ca="1" si="49">IF(AL259=F259,1,0)</f>
        <v>1</v>
      </c>
      <c r="AP259">
        <f t="shared" ref="AP259:AP322" ca="1" si="50">IF(AM259&gt;=1,1,0)</f>
        <v>0</v>
      </c>
      <c r="AQ259">
        <f t="shared" ref="AQ259:AQ322" ca="1" si="51">IF(AND(AN259=0, AO259=0),1,0)</f>
        <v>0</v>
      </c>
      <c r="AR259">
        <f t="shared" ref="AR259:AR322" ca="1" si="52">IF(AK259=1, 1/F259, IF(AK259 = 2, (1/F259)*(2/F259), IF(AK259 = 3, (1/F259)*(2/F259)*(3/F259), IF(AK259 = 4, (1/F259)*(2/F259)*(3/F259)*(4/F259),IF(AK259 = 5, (1/F259)*(2/F259)*(3/F259)*(4/F259)*(5/F259),IF(AK259 = 6, (1/F259)*(2/F259)*(3/F259)*(4/F259)*(5/F259)*(6/F259), 0))))))</f>
        <v>0</v>
      </c>
      <c r="AS259">
        <v>0</v>
      </c>
    </row>
    <row r="260" spans="1:45" x14ac:dyDescent="0.3">
      <c r="A260" s="1">
        <v>515</v>
      </c>
      <c r="C260" t="s">
        <v>461</v>
      </c>
      <c r="D260">
        <v>2018</v>
      </c>
      <c r="E260">
        <v>0</v>
      </c>
      <c r="F260">
        <v>3</v>
      </c>
      <c r="G260" t="s">
        <v>561</v>
      </c>
      <c r="H260" t="s">
        <v>792</v>
      </c>
      <c r="I260" t="s">
        <v>1110</v>
      </c>
      <c r="J260" t="s">
        <v>1357</v>
      </c>
      <c r="K260" t="s">
        <v>1580</v>
      </c>
      <c r="L260" t="s">
        <v>1749</v>
      </c>
      <c r="M260" t="s">
        <v>1898</v>
      </c>
      <c r="Z260" s="22" t="s">
        <v>2167</v>
      </c>
      <c r="AA260" s="22" t="s">
        <v>2167</v>
      </c>
      <c r="AB260" s="23" t="s">
        <v>2168</v>
      </c>
      <c r="AI260">
        <f t="shared" si="43"/>
        <v>0</v>
      </c>
      <c r="AJ260">
        <f t="shared" si="44"/>
        <v>1</v>
      </c>
      <c r="AK260">
        <f t="shared" ca="1" si="45"/>
        <v>0</v>
      </c>
      <c r="AL260">
        <f t="shared" ca="1" si="46"/>
        <v>1</v>
      </c>
      <c r="AM260">
        <f t="shared" ca="1" si="47"/>
        <v>2</v>
      </c>
      <c r="AN260">
        <f t="shared" ca="1" si="48"/>
        <v>0</v>
      </c>
      <c r="AO260">
        <f t="shared" ca="1" si="49"/>
        <v>0</v>
      </c>
      <c r="AP260">
        <f t="shared" ca="1" si="50"/>
        <v>1</v>
      </c>
      <c r="AQ260">
        <f t="shared" ca="1" si="51"/>
        <v>1</v>
      </c>
      <c r="AR260">
        <f t="shared" ca="1" si="52"/>
        <v>0</v>
      </c>
      <c r="AS260">
        <v>0</v>
      </c>
    </row>
    <row r="261" spans="1:45" x14ac:dyDescent="0.3">
      <c r="A261" s="1">
        <v>516</v>
      </c>
      <c r="C261" t="s">
        <v>462</v>
      </c>
      <c r="D261">
        <v>2018</v>
      </c>
      <c r="E261">
        <v>0</v>
      </c>
      <c r="F261">
        <v>2</v>
      </c>
      <c r="G261" t="s">
        <v>561</v>
      </c>
      <c r="H261" t="s">
        <v>793</v>
      </c>
      <c r="I261" t="s">
        <v>1111</v>
      </c>
      <c r="J261" t="s">
        <v>1358</v>
      </c>
      <c r="K261" t="s">
        <v>1581</v>
      </c>
      <c r="Z261" s="22" t="s">
        <v>2167</v>
      </c>
      <c r="AA261" s="21" t="s">
        <v>2166</v>
      </c>
      <c r="AI261">
        <f t="shared" si="43"/>
        <v>1</v>
      </c>
      <c r="AJ261">
        <f t="shared" si="44"/>
        <v>0</v>
      </c>
      <c r="AK261">
        <f t="shared" ca="1" si="45"/>
        <v>1</v>
      </c>
      <c r="AL261">
        <f t="shared" ca="1" si="46"/>
        <v>0</v>
      </c>
      <c r="AM261">
        <f t="shared" ca="1" si="47"/>
        <v>1</v>
      </c>
      <c r="AN261">
        <f t="shared" ca="1" si="48"/>
        <v>0</v>
      </c>
      <c r="AO261">
        <f t="shared" ca="1" si="49"/>
        <v>0</v>
      </c>
      <c r="AP261">
        <f t="shared" ca="1" si="50"/>
        <v>1</v>
      </c>
      <c r="AQ261">
        <f t="shared" ca="1" si="51"/>
        <v>1</v>
      </c>
      <c r="AR261">
        <f t="shared" ca="1" si="52"/>
        <v>0.5</v>
      </c>
      <c r="AS261">
        <v>0</v>
      </c>
    </row>
    <row r="262" spans="1:45" x14ac:dyDescent="0.3">
      <c r="A262" s="1">
        <v>517</v>
      </c>
      <c r="C262" t="s">
        <v>463</v>
      </c>
      <c r="D262">
        <v>2018</v>
      </c>
      <c r="E262">
        <v>0</v>
      </c>
      <c r="F262">
        <v>6</v>
      </c>
      <c r="G262" t="s">
        <v>561</v>
      </c>
      <c r="H262" t="s">
        <v>794</v>
      </c>
      <c r="I262" t="s">
        <v>1112</v>
      </c>
      <c r="J262" t="s">
        <v>1359</v>
      </c>
      <c r="K262" t="s">
        <v>1582</v>
      </c>
      <c r="L262" t="s">
        <v>1750</v>
      </c>
      <c r="M262" t="s">
        <v>1899</v>
      </c>
      <c r="N262" t="s">
        <v>1980</v>
      </c>
      <c r="O262" t="s">
        <v>2039</v>
      </c>
      <c r="P262" t="s">
        <v>2072</v>
      </c>
      <c r="Q262" t="s">
        <v>2097</v>
      </c>
      <c r="R262" t="s">
        <v>2114</v>
      </c>
      <c r="S262" t="s">
        <v>2129</v>
      </c>
      <c r="Z262" s="22" t="s">
        <v>2167</v>
      </c>
      <c r="AA262" s="22" t="s">
        <v>2167</v>
      </c>
      <c r="AB262" s="22" t="s">
        <v>2167</v>
      </c>
      <c r="AC262" s="22" t="s">
        <v>2167</v>
      </c>
      <c r="AD262" s="22" t="s">
        <v>2167</v>
      </c>
      <c r="AE262" s="22" t="s">
        <v>2167</v>
      </c>
      <c r="AI262">
        <f t="shared" si="43"/>
        <v>0</v>
      </c>
      <c r="AJ262">
        <f t="shared" si="44"/>
        <v>0</v>
      </c>
      <c r="AK262">
        <f t="shared" ca="1" si="45"/>
        <v>0</v>
      </c>
      <c r="AL262">
        <f t="shared" ca="1" si="46"/>
        <v>0</v>
      </c>
      <c r="AM262">
        <f t="shared" ca="1" si="47"/>
        <v>6</v>
      </c>
      <c r="AN262">
        <f t="shared" ca="1" si="48"/>
        <v>0</v>
      </c>
      <c r="AO262">
        <f t="shared" ca="1" si="49"/>
        <v>0</v>
      </c>
      <c r="AP262">
        <f t="shared" ca="1" si="50"/>
        <v>1</v>
      </c>
      <c r="AQ262">
        <f t="shared" ca="1" si="51"/>
        <v>1</v>
      </c>
      <c r="AR262">
        <f t="shared" ca="1" si="52"/>
        <v>0</v>
      </c>
      <c r="AS262">
        <v>0</v>
      </c>
    </row>
    <row r="263" spans="1:45" x14ac:dyDescent="0.3">
      <c r="A263" s="1">
        <v>518</v>
      </c>
      <c r="C263" t="s">
        <v>464</v>
      </c>
      <c r="D263">
        <v>2019</v>
      </c>
      <c r="E263">
        <v>0</v>
      </c>
      <c r="F263">
        <v>1</v>
      </c>
      <c r="G263" t="s">
        <v>561</v>
      </c>
      <c r="H263" t="s">
        <v>770</v>
      </c>
      <c r="I263" t="s">
        <v>1088</v>
      </c>
      <c r="Z263" s="23" t="s">
        <v>2168</v>
      </c>
      <c r="AI263">
        <f t="shared" si="43"/>
        <v>0</v>
      </c>
      <c r="AJ263">
        <f t="shared" si="44"/>
        <v>1</v>
      </c>
      <c r="AK263">
        <f t="shared" ca="1" si="45"/>
        <v>0</v>
      </c>
      <c r="AL263">
        <f t="shared" ca="1" si="46"/>
        <v>1</v>
      </c>
      <c r="AM263">
        <f t="shared" ca="1" si="47"/>
        <v>0</v>
      </c>
      <c r="AN263">
        <f t="shared" ca="1" si="48"/>
        <v>0</v>
      </c>
      <c r="AO263">
        <f t="shared" ca="1" si="49"/>
        <v>1</v>
      </c>
      <c r="AP263">
        <f t="shared" ca="1" si="50"/>
        <v>0</v>
      </c>
      <c r="AQ263">
        <f t="shared" ca="1" si="51"/>
        <v>0</v>
      </c>
      <c r="AR263">
        <f t="shared" ca="1" si="52"/>
        <v>0</v>
      </c>
      <c r="AS263">
        <v>0</v>
      </c>
    </row>
    <row r="264" spans="1:45" x14ac:dyDescent="0.3">
      <c r="A264" s="1">
        <v>519</v>
      </c>
      <c r="C264" t="s">
        <v>465</v>
      </c>
      <c r="D264">
        <v>2019</v>
      </c>
      <c r="E264">
        <v>0</v>
      </c>
      <c r="F264">
        <v>9</v>
      </c>
      <c r="G264" t="s">
        <v>561</v>
      </c>
      <c r="H264" t="s">
        <v>795</v>
      </c>
      <c r="I264" t="s">
        <v>1113</v>
      </c>
      <c r="J264" t="s">
        <v>1360</v>
      </c>
      <c r="K264" t="s">
        <v>1583</v>
      </c>
      <c r="L264" t="s">
        <v>1751</v>
      </c>
      <c r="M264" t="s">
        <v>1900</v>
      </c>
      <c r="N264" t="s">
        <v>1981</v>
      </c>
      <c r="O264" t="s">
        <v>1140</v>
      </c>
      <c r="P264" t="s">
        <v>2073</v>
      </c>
      <c r="Q264" t="s">
        <v>1158</v>
      </c>
      <c r="R264" t="s">
        <v>2115</v>
      </c>
      <c r="S264" t="s">
        <v>2130</v>
      </c>
      <c r="T264" t="s">
        <v>2140</v>
      </c>
      <c r="U264" t="s">
        <v>2147</v>
      </c>
      <c r="V264" t="s">
        <v>2152</v>
      </c>
      <c r="W264" t="s">
        <v>2156</v>
      </c>
      <c r="X264" t="s">
        <v>2160</v>
      </c>
      <c r="Y264" t="s">
        <v>2164</v>
      </c>
      <c r="Z264" s="22" t="s">
        <v>2167</v>
      </c>
      <c r="AA264" s="22" t="s">
        <v>2167</v>
      </c>
      <c r="AB264" s="21" t="s">
        <v>2166</v>
      </c>
      <c r="AC264" s="22" t="s">
        <v>2167</v>
      </c>
      <c r="AD264" s="22" t="s">
        <v>2167</v>
      </c>
      <c r="AE264" s="22" t="s">
        <v>2167</v>
      </c>
      <c r="AF264" s="22" t="s">
        <v>2167</v>
      </c>
      <c r="AG264" s="22" t="s">
        <v>2167</v>
      </c>
      <c r="AH264" s="22" t="s">
        <v>2167</v>
      </c>
      <c r="AI264">
        <f t="shared" si="43"/>
        <v>1</v>
      </c>
      <c r="AJ264">
        <f t="shared" si="44"/>
        <v>0</v>
      </c>
      <c r="AK264">
        <f t="shared" ca="1" si="45"/>
        <v>1</v>
      </c>
      <c r="AL264">
        <f t="shared" ca="1" si="46"/>
        <v>0</v>
      </c>
      <c r="AM264">
        <f t="shared" ca="1" si="47"/>
        <v>8</v>
      </c>
      <c r="AN264">
        <f t="shared" ca="1" si="48"/>
        <v>0</v>
      </c>
      <c r="AO264">
        <f t="shared" ca="1" si="49"/>
        <v>0</v>
      </c>
      <c r="AP264">
        <f t="shared" ca="1" si="50"/>
        <v>1</v>
      </c>
      <c r="AQ264">
        <f t="shared" ca="1" si="51"/>
        <v>1</v>
      </c>
      <c r="AR264">
        <f t="shared" ca="1" si="52"/>
        <v>0.1111111111111111</v>
      </c>
      <c r="AS264">
        <v>0</v>
      </c>
    </row>
    <row r="265" spans="1:45" x14ac:dyDescent="0.3">
      <c r="A265" s="1">
        <v>520</v>
      </c>
      <c r="C265" t="s">
        <v>466</v>
      </c>
      <c r="D265">
        <v>2019</v>
      </c>
      <c r="E265">
        <v>0</v>
      </c>
      <c r="F265">
        <v>1</v>
      </c>
      <c r="G265" t="s">
        <v>561</v>
      </c>
      <c r="H265" t="s">
        <v>796</v>
      </c>
      <c r="I265" t="s">
        <v>1114</v>
      </c>
      <c r="Z265" s="22" t="s">
        <v>2167</v>
      </c>
      <c r="AI265">
        <f t="shared" si="43"/>
        <v>0</v>
      </c>
      <c r="AJ265">
        <f t="shared" si="44"/>
        <v>0</v>
      </c>
      <c r="AK265">
        <f t="shared" ca="1" si="45"/>
        <v>0</v>
      </c>
      <c r="AL265">
        <f t="shared" ca="1" si="46"/>
        <v>0</v>
      </c>
      <c r="AM265">
        <f t="shared" ca="1" si="47"/>
        <v>1</v>
      </c>
      <c r="AN265">
        <f t="shared" ca="1" si="48"/>
        <v>0</v>
      </c>
      <c r="AO265">
        <f t="shared" ca="1" si="49"/>
        <v>0</v>
      </c>
      <c r="AP265">
        <f t="shared" ca="1" si="50"/>
        <v>1</v>
      </c>
      <c r="AQ265">
        <f t="shared" ca="1" si="51"/>
        <v>1</v>
      </c>
      <c r="AR265">
        <f t="shared" ca="1" si="52"/>
        <v>0</v>
      </c>
      <c r="AS265">
        <v>0</v>
      </c>
    </row>
    <row r="266" spans="1:45" x14ac:dyDescent="0.3">
      <c r="A266" s="1">
        <v>521</v>
      </c>
      <c r="C266" t="s">
        <v>467</v>
      </c>
      <c r="D266">
        <v>2019</v>
      </c>
      <c r="E266">
        <v>0</v>
      </c>
      <c r="F266">
        <v>4</v>
      </c>
      <c r="G266" t="s">
        <v>561</v>
      </c>
      <c r="H266" t="s">
        <v>797</v>
      </c>
      <c r="I266" t="s">
        <v>1115</v>
      </c>
      <c r="J266" t="s">
        <v>1361</v>
      </c>
      <c r="K266" t="s">
        <v>1584</v>
      </c>
      <c r="L266" t="s">
        <v>1752</v>
      </c>
      <c r="M266" t="s">
        <v>1901</v>
      </c>
      <c r="N266" t="s">
        <v>1982</v>
      </c>
      <c r="O266" t="s">
        <v>2040</v>
      </c>
      <c r="Z266" s="22" t="s">
        <v>2167</v>
      </c>
      <c r="AA266" s="22" t="s">
        <v>2167</v>
      </c>
      <c r="AB266" s="22" t="s">
        <v>2167</v>
      </c>
      <c r="AC266" s="22" t="s">
        <v>2167</v>
      </c>
      <c r="AI266">
        <f t="shared" si="43"/>
        <v>0</v>
      </c>
      <c r="AJ266">
        <f t="shared" si="44"/>
        <v>0</v>
      </c>
      <c r="AK266">
        <f t="shared" ca="1" si="45"/>
        <v>0</v>
      </c>
      <c r="AL266">
        <f t="shared" ca="1" si="46"/>
        <v>0</v>
      </c>
      <c r="AM266">
        <f t="shared" ca="1" si="47"/>
        <v>4</v>
      </c>
      <c r="AN266">
        <f t="shared" ca="1" si="48"/>
        <v>0</v>
      </c>
      <c r="AO266">
        <f t="shared" ca="1" si="49"/>
        <v>0</v>
      </c>
      <c r="AP266">
        <f t="shared" ca="1" si="50"/>
        <v>1</v>
      </c>
      <c r="AQ266">
        <f t="shared" ca="1" si="51"/>
        <v>1</v>
      </c>
      <c r="AR266">
        <f t="shared" ca="1" si="52"/>
        <v>0</v>
      </c>
      <c r="AS266">
        <v>0</v>
      </c>
    </row>
    <row r="267" spans="1:45" x14ac:dyDescent="0.3">
      <c r="A267" s="1">
        <v>522</v>
      </c>
      <c r="C267" t="s">
        <v>468</v>
      </c>
      <c r="D267">
        <v>2019</v>
      </c>
      <c r="E267">
        <v>0</v>
      </c>
      <c r="F267">
        <v>3</v>
      </c>
      <c r="G267" t="s">
        <v>561</v>
      </c>
      <c r="H267" t="s">
        <v>798</v>
      </c>
      <c r="I267" t="s">
        <v>1116</v>
      </c>
      <c r="J267" t="s">
        <v>1362</v>
      </c>
      <c r="K267" t="s">
        <v>1585</v>
      </c>
      <c r="L267" t="s">
        <v>1753</v>
      </c>
      <c r="M267" t="s">
        <v>1902</v>
      </c>
      <c r="Z267" s="21" t="s">
        <v>2166</v>
      </c>
      <c r="AA267" s="22" t="s">
        <v>2167</v>
      </c>
      <c r="AB267" s="22" t="s">
        <v>2167</v>
      </c>
      <c r="AI267">
        <f t="shared" si="43"/>
        <v>1</v>
      </c>
      <c r="AJ267">
        <f t="shared" si="44"/>
        <v>0</v>
      </c>
      <c r="AK267">
        <f t="shared" ca="1" si="45"/>
        <v>1</v>
      </c>
      <c r="AL267">
        <f t="shared" ca="1" si="46"/>
        <v>0</v>
      </c>
      <c r="AM267">
        <f t="shared" ca="1" si="47"/>
        <v>2</v>
      </c>
      <c r="AN267">
        <f t="shared" ca="1" si="48"/>
        <v>0</v>
      </c>
      <c r="AO267">
        <f t="shared" ca="1" si="49"/>
        <v>0</v>
      </c>
      <c r="AP267">
        <f t="shared" ca="1" si="50"/>
        <v>1</v>
      </c>
      <c r="AQ267">
        <f t="shared" ca="1" si="51"/>
        <v>1</v>
      </c>
      <c r="AR267">
        <f t="shared" ca="1" si="52"/>
        <v>0.33333333333333331</v>
      </c>
      <c r="AS267">
        <v>0</v>
      </c>
    </row>
    <row r="268" spans="1:45" x14ac:dyDescent="0.3">
      <c r="A268" s="1">
        <v>523</v>
      </c>
      <c r="C268" t="s">
        <v>469</v>
      </c>
      <c r="D268">
        <v>2019</v>
      </c>
      <c r="E268">
        <v>0</v>
      </c>
      <c r="F268">
        <v>2</v>
      </c>
      <c r="G268" t="s">
        <v>561</v>
      </c>
      <c r="H268" t="s">
        <v>799</v>
      </c>
      <c r="I268" t="s">
        <v>1117</v>
      </c>
      <c r="J268" t="s">
        <v>1363</v>
      </c>
      <c r="K268" t="s">
        <v>1586</v>
      </c>
      <c r="Z268" s="22" t="s">
        <v>2167</v>
      </c>
      <c r="AA268" s="22" t="s">
        <v>2167</v>
      </c>
      <c r="AI268">
        <f t="shared" si="43"/>
        <v>0</v>
      </c>
      <c r="AJ268">
        <f t="shared" si="44"/>
        <v>0</v>
      </c>
      <c r="AK268">
        <f t="shared" ca="1" si="45"/>
        <v>0</v>
      </c>
      <c r="AL268">
        <f t="shared" ca="1" si="46"/>
        <v>0</v>
      </c>
      <c r="AM268">
        <f t="shared" ca="1" si="47"/>
        <v>2</v>
      </c>
      <c r="AN268">
        <f t="shared" ca="1" si="48"/>
        <v>0</v>
      </c>
      <c r="AO268">
        <f t="shared" ca="1" si="49"/>
        <v>0</v>
      </c>
      <c r="AP268">
        <f t="shared" ca="1" si="50"/>
        <v>1</v>
      </c>
      <c r="AQ268">
        <f t="shared" ca="1" si="51"/>
        <v>1</v>
      </c>
      <c r="AR268">
        <f t="shared" ca="1" si="52"/>
        <v>0</v>
      </c>
      <c r="AS268">
        <v>0</v>
      </c>
    </row>
    <row r="269" spans="1:45" x14ac:dyDescent="0.3">
      <c r="A269" s="1">
        <v>524</v>
      </c>
      <c r="C269" t="s">
        <v>470</v>
      </c>
      <c r="D269">
        <v>2019</v>
      </c>
      <c r="E269">
        <v>0</v>
      </c>
      <c r="F269">
        <v>1</v>
      </c>
      <c r="G269" t="s">
        <v>561</v>
      </c>
      <c r="H269" t="s">
        <v>800</v>
      </c>
      <c r="I269" t="s">
        <v>1074</v>
      </c>
      <c r="Z269" s="22" t="s">
        <v>2167</v>
      </c>
      <c r="AI269">
        <f t="shared" si="43"/>
        <v>0</v>
      </c>
      <c r="AJ269">
        <f t="shared" si="44"/>
        <v>0</v>
      </c>
      <c r="AK269">
        <f t="shared" ca="1" si="45"/>
        <v>0</v>
      </c>
      <c r="AL269">
        <f t="shared" ca="1" si="46"/>
        <v>0</v>
      </c>
      <c r="AM269">
        <f t="shared" ca="1" si="47"/>
        <v>1</v>
      </c>
      <c r="AN269">
        <f t="shared" ca="1" si="48"/>
        <v>0</v>
      </c>
      <c r="AO269">
        <f t="shared" ca="1" si="49"/>
        <v>0</v>
      </c>
      <c r="AP269">
        <f t="shared" ca="1" si="50"/>
        <v>1</v>
      </c>
      <c r="AQ269">
        <f t="shared" ca="1" si="51"/>
        <v>1</v>
      </c>
      <c r="AR269">
        <f t="shared" ca="1" si="52"/>
        <v>0</v>
      </c>
      <c r="AS269">
        <v>0</v>
      </c>
    </row>
    <row r="270" spans="1:45" x14ac:dyDescent="0.3">
      <c r="A270" s="1">
        <v>525</v>
      </c>
      <c r="C270" t="s">
        <v>471</v>
      </c>
      <c r="D270">
        <v>2019</v>
      </c>
      <c r="E270">
        <v>0</v>
      </c>
      <c r="F270">
        <v>2</v>
      </c>
      <c r="G270" t="s">
        <v>561</v>
      </c>
      <c r="H270" t="s">
        <v>801</v>
      </c>
      <c r="I270" t="s">
        <v>1118</v>
      </c>
      <c r="J270" t="s">
        <v>1364</v>
      </c>
      <c r="K270" t="s">
        <v>1587</v>
      </c>
      <c r="Z270" s="22" t="s">
        <v>2167</v>
      </c>
      <c r="AA270" s="22" t="s">
        <v>2167</v>
      </c>
      <c r="AI270">
        <f t="shared" si="43"/>
        <v>0</v>
      </c>
      <c r="AJ270">
        <f t="shared" si="44"/>
        <v>0</v>
      </c>
      <c r="AK270">
        <f t="shared" ca="1" si="45"/>
        <v>0</v>
      </c>
      <c r="AL270">
        <f t="shared" ca="1" si="46"/>
        <v>0</v>
      </c>
      <c r="AM270">
        <f t="shared" ca="1" si="47"/>
        <v>2</v>
      </c>
      <c r="AN270">
        <f t="shared" ca="1" si="48"/>
        <v>0</v>
      </c>
      <c r="AO270">
        <f t="shared" ca="1" si="49"/>
        <v>0</v>
      </c>
      <c r="AP270">
        <f t="shared" ca="1" si="50"/>
        <v>1</v>
      </c>
      <c r="AQ270">
        <f t="shared" ca="1" si="51"/>
        <v>1</v>
      </c>
      <c r="AR270">
        <f t="shared" ca="1" si="52"/>
        <v>0</v>
      </c>
      <c r="AS270">
        <v>0</v>
      </c>
    </row>
    <row r="271" spans="1:45" x14ac:dyDescent="0.3">
      <c r="A271" s="1">
        <v>526</v>
      </c>
      <c r="C271" t="s">
        <v>472</v>
      </c>
      <c r="D271">
        <v>2019</v>
      </c>
      <c r="E271">
        <v>0</v>
      </c>
      <c r="F271">
        <v>1</v>
      </c>
      <c r="G271" t="s">
        <v>561</v>
      </c>
      <c r="H271" t="s">
        <v>802</v>
      </c>
      <c r="I271" t="s">
        <v>1119</v>
      </c>
      <c r="Z271" s="21" t="s">
        <v>2166</v>
      </c>
      <c r="AI271">
        <f t="shared" si="43"/>
        <v>1</v>
      </c>
      <c r="AJ271">
        <f t="shared" si="44"/>
        <v>0</v>
      </c>
      <c r="AK271">
        <f t="shared" ca="1" si="45"/>
        <v>1</v>
      </c>
      <c r="AL271">
        <f t="shared" ca="1" si="46"/>
        <v>0</v>
      </c>
      <c r="AM271">
        <f t="shared" ca="1" si="47"/>
        <v>0</v>
      </c>
      <c r="AN271">
        <f t="shared" ca="1" si="48"/>
        <v>1</v>
      </c>
      <c r="AO271">
        <f t="shared" ca="1" si="49"/>
        <v>0</v>
      </c>
      <c r="AP271">
        <f t="shared" ca="1" si="50"/>
        <v>0</v>
      </c>
      <c r="AQ271">
        <f t="shared" ca="1" si="51"/>
        <v>0</v>
      </c>
      <c r="AR271">
        <f t="shared" ca="1" si="52"/>
        <v>1</v>
      </c>
      <c r="AS271">
        <v>0</v>
      </c>
    </row>
    <row r="272" spans="1:45" x14ac:dyDescent="0.3">
      <c r="A272" s="1">
        <v>527</v>
      </c>
      <c r="C272" t="s">
        <v>473</v>
      </c>
      <c r="D272">
        <v>2019</v>
      </c>
      <c r="E272">
        <v>0</v>
      </c>
      <c r="F272">
        <v>3</v>
      </c>
      <c r="G272" t="s">
        <v>561</v>
      </c>
      <c r="H272" t="s">
        <v>803</v>
      </c>
      <c r="I272" t="s">
        <v>1049</v>
      </c>
      <c r="J272" t="s">
        <v>1365</v>
      </c>
      <c r="K272" t="s">
        <v>1543</v>
      </c>
      <c r="L272" t="s">
        <v>1754</v>
      </c>
      <c r="M272" t="s">
        <v>1903</v>
      </c>
      <c r="Z272" s="23" t="s">
        <v>2168</v>
      </c>
      <c r="AA272" s="21" t="s">
        <v>2166</v>
      </c>
      <c r="AB272" s="21" t="s">
        <v>2166</v>
      </c>
      <c r="AI272">
        <f t="shared" si="43"/>
        <v>2</v>
      </c>
      <c r="AJ272">
        <f t="shared" si="44"/>
        <v>1</v>
      </c>
      <c r="AK272">
        <f t="shared" ca="1" si="45"/>
        <v>2</v>
      </c>
      <c r="AL272">
        <f t="shared" ca="1" si="46"/>
        <v>1</v>
      </c>
      <c r="AM272">
        <f t="shared" ca="1" si="47"/>
        <v>0</v>
      </c>
      <c r="AN272">
        <f t="shared" ca="1" si="48"/>
        <v>0</v>
      </c>
      <c r="AO272">
        <f t="shared" ca="1" si="49"/>
        <v>0</v>
      </c>
      <c r="AP272">
        <f t="shared" ca="1" si="50"/>
        <v>0</v>
      </c>
      <c r="AQ272">
        <f t="shared" ca="1" si="51"/>
        <v>1</v>
      </c>
      <c r="AR272">
        <f t="shared" ca="1" si="52"/>
        <v>0.22222222222222221</v>
      </c>
      <c r="AS272">
        <v>0</v>
      </c>
    </row>
    <row r="273" spans="1:45" x14ac:dyDescent="0.3">
      <c r="A273" s="1">
        <v>528</v>
      </c>
      <c r="C273" t="s">
        <v>474</v>
      </c>
      <c r="D273">
        <v>2019</v>
      </c>
      <c r="E273">
        <v>0</v>
      </c>
      <c r="F273">
        <v>2</v>
      </c>
      <c r="G273" t="s">
        <v>561</v>
      </c>
      <c r="H273" t="s">
        <v>804</v>
      </c>
      <c r="I273" t="s">
        <v>1120</v>
      </c>
      <c r="J273" t="s">
        <v>1366</v>
      </c>
      <c r="K273" t="s">
        <v>1588</v>
      </c>
      <c r="Z273" s="22" t="s">
        <v>2167</v>
      </c>
      <c r="AA273" s="22" t="s">
        <v>2167</v>
      </c>
      <c r="AI273">
        <f t="shared" si="43"/>
        <v>0</v>
      </c>
      <c r="AJ273">
        <f t="shared" si="44"/>
        <v>0</v>
      </c>
      <c r="AK273">
        <f t="shared" ca="1" si="45"/>
        <v>0</v>
      </c>
      <c r="AL273">
        <f t="shared" ca="1" si="46"/>
        <v>0</v>
      </c>
      <c r="AM273">
        <f t="shared" ca="1" si="47"/>
        <v>2</v>
      </c>
      <c r="AN273">
        <f t="shared" ca="1" si="48"/>
        <v>0</v>
      </c>
      <c r="AO273">
        <f t="shared" ca="1" si="49"/>
        <v>0</v>
      </c>
      <c r="AP273">
        <f t="shared" ca="1" si="50"/>
        <v>1</v>
      </c>
      <c r="AQ273">
        <f t="shared" ca="1" si="51"/>
        <v>1</v>
      </c>
      <c r="AR273">
        <f t="shared" ca="1" si="52"/>
        <v>0</v>
      </c>
      <c r="AS273">
        <v>0</v>
      </c>
    </row>
    <row r="274" spans="1:45" x14ac:dyDescent="0.3">
      <c r="A274" s="1">
        <v>529</v>
      </c>
      <c r="C274" t="s">
        <v>475</v>
      </c>
      <c r="D274">
        <v>2019</v>
      </c>
      <c r="E274">
        <v>0</v>
      </c>
      <c r="F274">
        <v>6</v>
      </c>
      <c r="G274" t="s">
        <v>561</v>
      </c>
      <c r="H274" t="s">
        <v>805</v>
      </c>
      <c r="I274" t="s">
        <v>1121</v>
      </c>
      <c r="J274" t="s">
        <v>1367</v>
      </c>
      <c r="K274" t="s">
        <v>1032</v>
      </c>
      <c r="L274" t="s">
        <v>1755</v>
      </c>
      <c r="M274" t="s">
        <v>1904</v>
      </c>
      <c r="N274" t="s">
        <v>1983</v>
      </c>
      <c r="O274" t="s">
        <v>2041</v>
      </c>
      <c r="P274" t="s">
        <v>2074</v>
      </c>
      <c r="Q274" t="s">
        <v>2098</v>
      </c>
      <c r="R274" t="s">
        <v>2116</v>
      </c>
      <c r="S274" t="s">
        <v>1527</v>
      </c>
      <c r="Z274" s="21" t="s">
        <v>2166</v>
      </c>
      <c r="AA274" s="21" t="s">
        <v>2166</v>
      </c>
      <c r="AB274" s="22" t="s">
        <v>2167</v>
      </c>
      <c r="AC274" s="21" t="s">
        <v>2166</v>
      </c>
      <c r="AD274" s="21" t="s">
        <v>2166</v>
      </c>
      <c r="AE274" s="23" t="s">
        <v>2168</v>
      </c>
      <c r="AI274">
        <f t="shared" si="43"/>
        <v>4</v>
      </c>
      <c r="AJ274">
        <f t="shared" si="44"/>
        <v>1</v>
      </c>
      <c r="AK274">
        <f t="shared" ca="1" si="45"/>
        <v>4</v>
      </c>
      <c r="AL274">
        <f t="shared" ca="1" si="46"/>
        <v>1</v>
      </c>
      <c r="AM274">
        <f t="shared" ca="1" si="47"/>
        <v>1</v>
      </c>
      <c r="AN274">
        <f t="shared" ca="1" si="48"/>
        <v>0</v>
      </c>
      <c r="AO274">
        <f t="shared" ca="1" si="49"/>
        <v>0</v>
      </c>
      <c r="AP274">
        <f t="shared" ca="1" si="50"/>
        <v>1</v>
      </c>
      <c r="AQ274">
        <f t="shared" ca="1" si="51"/>
        <v>1</v>
      </c>
      <c r="AR274">
        <f t="shared" ca="1" si="52"/>
        <v>1.8518518518518517E-2</v>
      </c>
      <c r="AS274">
        <v>0</v>
      </c>
    </row>
    <row r="275" spans="1:45" x14ac:dyDescent="0.3">
      <c r="A275" s="1">
        <v>530</v>
      </c>
      <c r="C275" t="s">
        <v>476</v>
      </c>
      <c r="D275">
        <v>2019</v>
      </c>
      <c r="E275">
        <v>0</v>
      </c>
      <c r="F275">
        <v>1</v>
      </c>
      <c r="G275" t="s">
        <v>561</v>
      </c>
      <c r="H275" t="s">
        <v>629</v>
      </c>
      <c r="I275" t="s">
        <v>951</v>
      </c>
      <c r="Z275" s="23" t="s">
        <v>2168</v>
      </c>
      <c r="AI275">
        <f t="shared" si="43"/>
        <v>0</v>
      </c>
      <c r="AJ275">
        <f t="shared" si="44"/>
        <v>1</v>
      </c>
      <c r="AK275">
        <f t="shared" ca="1" si="45"/>
        <v>0</v>
      </c>
      <c r="AL275">
        <f t="shared" ca="1" si="46"/>
        <v>1</v>
      </c>
      <c r="AM275">
        <f t="shared" ca="1" si="47"/>
        <v>0</v>
      </c>
      <c r="AN275">
        <f t="shared" ca="1" si="48"/>
        <v>0</v>
      </c>
      <c r="AO275">
        <f t="shared" ca="1" si="49"/>
        <v>1</v>
      </c>
      <c r="AP275">
        <f t="shared" ca="1" si="50"/>
        <v>0</v>
      </c>
      <c r="AQ275">
        <f t="shared" ca="1" si="51"/>
        <v>0</v>
      </c>
      <c r="AR275">
        <f t="shared" ca="1" si="52"/>
        <v>0</v>
      </c>
      <c r="AS275">
        <v>0</v>
      </c>
    </row>
    <row r="276" spans="1:45" x14ac:dyDescent="0.3">
      <c r="A276" s="1">
        <v>531</v>
      </c>
      <c r="C276" t="s">
        <v>477</v>
      </c>
      <c r="D276">
        <v>2019</v>
      </c>
      <c r="E276">
        <v>0</v>
      </c>
      <c r="F276">
        <v>1</v>
      </c>
      <c r="G276" t="s">
        <v>561</v>
      </c>
      <c r="H276" t="s">
        <v>806</v>
      </c>
      <c r="I276" t="s">
        <v>1122</v>
      </c>
      <c r="Z276" s="22" t="s">
        <v>2167</v>
      </c>
      <c r="AI276">
        <f t="shared" si="43"/>
        <v>0</v>
      </c>
      <c r="AJ276">
        <f t="shared" si="44"/>
        <v>0</v>
      </c>
      <c r="AK276">
        <f t="shared" ca="1" si="45"/>
        <v>0</v>
      </c>
      <c r="AL276">
        <f t="shared" ca="1" si="46"/>
        <v>0</v>
      </c>
      <c r="AM276">
        <f t="shared" ca="1" si="47"/>
        <v>1</v>
      </c>
      <c r="AN276">
        <f t="shared" ca="1" si="48"/>
        <v>0</v>
      </c>
      <c r="AO276">
        <f t="shared" ca="1" si="49"/>
        <v>0</v>
      </c>
      <c r="AP276">
        <f t="shared" ca="1" si="50"/>
        <v>1</v>
      </c>
      <c r="AQ276">
        <f t="shared" ca="1" si="51"/>
        <v>1</v>
      </c>
      <c r="AR276">
        <f t="shared" ca="1" si="52"/>
        <v>0</v>
      </c>
      <c r="AS276">
        <v>0</v>
      </c>
    </row>
    <row r="277" spans="1:45" x14ac:dyDescent="0.3">
      <c r="A277" s="1">
        <v>532</v>
      </c>
      <c r="C277" t="s">
        <v>478</v>
      </c>
      <c r="D277">
        <v>2019</v>
      </c>
      <c r="E277">
        <v>0</v>
      </c>
      <c r="F277">
        <v>2</v>
      </c>
      <c r="G277" t="s">
        <v>561</v>
      </c>
      <c r="H277" t="s">
        <v>807</v>
      </c>
      <c r="I277" t="s">
        <v>1123</v>
      </c>
      <c r="J277" t="s">
        <v>800</v>
      </c>
      <c r="K277" t="s">
        <v>1074</v>
      </c>
      <c r="Z277" s="22" t="s">
        <v>2167</v>
      </c>
      <c r="AA277" s="22" t="s">
        <v>2167</v>
      </c>
      <c r="AI277">
        <f t="shared" si="43"/>
        <v>0</v>
      </c>
      <c r="AJ277">
        <f t="shared" si="44"/>
        <v>0</v>
      </c>
      <c r="AK277">
        <f t="shared" ca="1" si="45"/>
        <v>0</v>
      </c>
      <c r="AL277">
        <f t="shared" ca="1" si="46"/>
        <v>0</v>
      </c>
      <c r="AM277">
        <f t="shared" ca="1" si="47"/>
        <v>2</v>
      </c>
      <c r="AN277">
        <f t="shared" ca="1" si="48"/>
        <v>0</v>
      </c>
      <c r="AO277">
        <f t="shared" ca="1" si="49"/>
        <v>0</v>
      </c>
      <c r="AP277">
        <f t="shared" ca="1" si="50"/>
        <v>1</v>
      </c>
      <c r="AQ277">
        <f t="shared" ca="1" si="51"/>
        <v>1</v>
      </c>
      <c r="AR277">
        <f t="shared" ca="1" si="52"/>
        <v>0</v>
      </c>
      <c r="AS277">
        <v>0</v>
      </c>
    </row>
    <row r="278" spans="1:45" x14ac:dyDescent="0.3">
      <c r="A278" s="1">
        <v>533</v>
      </c>
      <c r="C278" t="s">
        <v>479</v>
      </c>
      <c r="D278">
        <v>2019</v>
      </c>
      <c r="E278">
        <v>0</v>
      </c>
      <c r="F278">
        <v>1</v>
      </c>
      <c r="G278" t="s">
        <v>561</v>
      </c>
      <c r="H278" t="s">
        <v>571</v>
      </c>
      <c r="I278" t="s">
        <v>893</v>
      </c>
      <c r="Z278" s="21" t="s">
        <v>2166</v>
      </c>
      <c r="AI278">
        <f t="shared" si="43"/>
        <v>1</v>
      </c>
      <c r="AJ278">
        <f t="shared" si="44"/>
        <v>0</v>
      </c>
      <c r="AK278">
        <f t="shared" ca="1" si="45"/>
        <v>1</v>
      </c>
      <c r="AL278">
        <f t="shared" ca="1" si="46"/>
        <v>0</v>
      </c>
      <c r="AM278">
        <f t="shared" ca="1" si="47"/>
        <v>0</v>
      </c>
      <c r="AN278">
        <f t="shared" ca="1" si="48"/>
        <v>1</v>
      </c>
      <c r="AO278">
        <f t="shared" ca="1" si="49"/>
        <v>0</v>
      </c>
      <c r="AP278">
        <f t="shared" ca="1" si="50"/>
        <v>0</v>
      </c>
      <c r="AQ278">
        <f t="shared" ca="1" si="51"/>
        <v>0</v>
      </c>
      <c r="AR278">
        <f t="shared" ca="1" si="52"/>
        <v>1</v>
      </c>
      <c r="AS278">
        <v>0</v>
      </c>
    </row>
    <row r="279" spans="1:45" x14ac:dyDescent="0.3">
      <c r="A279" s="1">
        <v>534</v>
      </c>
      <c r="C279" t="s">
        <v>480</v>
      </c>
      <c r="D279">
        <v>2019</v>
      </c>
      <c r="E279">
        <v>0</v>
      </c>
      <c r="F279">
        <v>2</v>
      </c>
      <c r="G279" t="s">
        <v>561</v>
      </c>
      <c r="H279" t="s">
        <v>808</v>
      </c>
      <c r="I279" t="s">
        <v>999</v>
      </c>
      <c r="J279" t="s">
        <v>1368</v>
      </c>
      <c r="K279" t="s">
        <v>1589</v>
      </c>
      <c r="Z279" s="21" t="s">
        <v>2166</v>
      </c>
      <c r="AA279" s="23" t="s">
        <v>2168</v>
      </c>
      <c r="AI279">
        <f t="shared" si="43"/>
        <v>1</v>
      </c>
      <c r="AJ279">
        <f t="shared" si="44"/>
        <v>1</v>
      </c>
      <c r="AK279">
        <f t="shared" ca="1" si="45"/>
        <v>1</v>
      </c>
      <c r="AL279">
        <f t="shared" ca="1" si="46"/>
        <v>1</v>
      </c>
      <c r="AM279">
        <f t="shared" ca="1" si="47"/>
        <v>0</v>
      </c>
      <c r="AN279">
        <f t="shared" ca="1" si="48"/>
        <v>0</v>
      </c>
      <c r="AO279">
        <f t="shared" ca="1" si="49"/>
        <v>0</v>
      </c>
      <c r="AP279">
        <f t="shared" ca="1" si="50"/>
        <v>0</v>
      </c>
      <c r="AQ279">
        <f t="shared" ca="1" si="51"/>
        <v>1</v>
      </c>
      <c r="AR279">
        <f t="shared" ca="1" si="52"/>
        <v>0.5</v>
      </c>
      <c r="AS279">
        <v>0</v>
      </c>
    </row>
    <row r="280" spans="1:45" x14ac:dyDescent="0.3">
      <c r="A280" s="1">
        <v>535</v>
      </c>
      <c r="C280" t="s">
        <v>481</v>
      </c>
      <c r="D280">
        <v>2019</v>
      </c>
      <c r="E280">
        <v>0</v>
      </c>
      <c r="F280">
        <v>2</v>
      </c>
      <c r="G280" t="s">
        <v>561</v>
      </c>
      <c r="H280" t="s">
        <v>809</v>
      </c>
      <c r="I280" t="s">
        <v>1124</v>
      </c>
      <c r="J280" t="s">
        <v>1369</v>
      </c>
      <c r="K280" t="s">
        <v>1590</v>
      </c>
      <c r="Z280" s="22" t="s">
        <v>2167</v>
      </c>
      <c r="AA280" s="23" t="s">
        <v>2168</v>
      </c>
      <c r="AI280">
        <f t="shared" si="43"/>
        <v>0</v>
      </c>
      <c r="AJ280">
        <f t="shared" si="44"/>
        <v>1</v>
      </c>
      <c r="AK280">
        <f t="shared" ca="1" si="45"/>
        <v>0</v>
      </c>
      <c r="AL280">
        <f t="shared" ca="1" si="46"/>
        <v>1</v>
      </c>
      <c r="AM280">
        <f t="shared" ca="1" si="47"/>
        <v>1</v>
      </c>
      <c r="AN280">
        <f t="shared" ca="1" si="48"/>
        <v>0</v>
      </c>
      <c r="AO280">
        <f t="shared" ca="1" si="49"/>
        <v>0</v>
      </c>
      <c r="AP280">
        <f t="shared" ca="1" si="50"/>
        <v>1</v>
      </c>
      <c r="AQ280">
        <f t="shared" ca="1" si="51"/>
        <v>1</v>
      </c>
      <c r="AR280">
        <f t="shared" ca="1" si="52"/>
        <v>0</v>
      </c>
      <c r="AS280">
        <v>0</v>
      </c>
    </row>
    <row r="281" spans="1:45" x14ac:dyDescent="0.3">
      <c r="A281" s="1">
        <v>536</v>
      </c>
      <c r="C281" t="s">
        <v>482</v>
      </c>
      <c r="D281">
        <v>2019</v>
      </c>
      <c r="E281">
        <v>0</v>
      </c>
      <c r="F281">
        <v>3</v>
      </c>
      <c r="G281" t="s">
        <v>561</v>
      </c>
      <c r="H281" t="s">
        <v>708</v>
      </c>
      <c r="I281" t="s">
        <v>1029</v>
      </c>
      <c r="J281" t="s">
        <v>1370</v>
      </c>
      <c r="K281" t="s">
        <v>1591</v>
      </c>
      <c r="L281" t="s">
        <v>1756</v>
      </c>
      <c r="M281" t="s">
        <v>1905</v>
      </c>
      <c r="Z281" s="21" t="s">
        <v>2166</v>
      </c>
      <c r="AA281" s="21" t="s">
        <v>2166</v>
      </c>
      <c r="AB281" s="21" t="s">
        <v>2166</v>
      </c>
      <c r="AI281">
        <f t="shared" si="43"/>
        <v>3</v>
      </c>
      <c r="AJ281">
        <f t="shared" si="44"/>
        <v>0</v>
      </c>
      <c r="AK281">
        <f t="shared" ca="1" si="45"/>
        <v>3</v>
      </c>
      <c r="AL281">
        <f t="shared" ca="1" si="46"/>
        <v>0</v>
      </c>
      <c r="AM281">
        <f t="shared" ca="1" si="47"/>
        <v>0</v>
      </c>
      <c r="AN281">
        <f t="shared" ca="1" si="48"/>
        <v>1</v>
      </c>
      <c r="AO281">
        <f t="shared" ca="1" si="49"/>
        <v>0</v>
      </c>
      <c r="AP281">
        <f t="shared" ca="1" si="50"/>
        <v>0</v>
      </c>
      <c r="AQ281">
        <f t="shared" ca="1" si="51"/>
        <v>0</v>
      </c>
      <c r="AR281">
        <f t="shared" ca="1" si="52"/>
        <v>0.22222222222222221</v>
      </c>
      <c r="AS281">
        <v>0</v>
      </c>
    </row>
    <row r="282" spans="1:45" x14ac:dyDescent="0.3">
      <c r="A282" s="1">
        <v>537</v>
      </c>
      <c r="C282" t="s">
        <v>483</v>
      </c>
      <c r="D282">
        <v>2019</v>
      </c>
      <c r="E282">
        <v>0</v>
      </c>
      <c r="F282">
        <v>1</v>
      </c>
      <c r="G282" t="s">
        <v>561</v>
      </c>
      <c r="H282" t="s">
        <v>810</v>
      </c>
      <c r="I282" t="s">
        <v>1125</v>
      </c>
      <c r="Z282" s="22" t="s">
        <v>2167</v>
      </c>
      <c r="AI282">
        <f t="shared" si="43"/>
        <v>0</v>
      </c>
      <c r="AJ282">
        <f t="shared" si="44"/>
        <v>0</v>
      </c>
      <c r="AK282">
        <f t="shared" ca="1" si="45"/>
        <v>0</v>
      </c>
      <c r="AL282">
        <f t="shared" ca="1" si="46"/>
        <v>0</v>
      </c>
      <c r="AM282">
        <f t="shared" ca="1" si="47"/>
        <v>1</v>
      </c>
      <c r="AN282">
        <f t="shared" ca="1" si="48"/>
        <v>0</v>
      </c>
      <c r="AO282">
        <f t="shared" ca="1" si="49"/>
        <v>0</v>
      </c>
      <c r="AP282">
        <f t="shared" ca="1" si="50"/>
        <v>1</v>
      </c>
      <c r="AQ282">
        <f t="shared" ca="1" si="51"/>
        <v>1</v>
      </c>
      <c r="AR282">
        <f t="shared" ca="1" si="52"/>
        <v>0</v>
      </c>
      <c r="AS282">
        <v>0</v>
      </c>
    </row>
    <row r="283" spans="1:45" x14ac:dyDescent="0.3">
      <c r="A283" s="1">
        <v>538</v>
      </c>
      <c r="C283" t="s">
        <v>484</v>
      </c>
      <c r="D283">
        <v>2019</v>
      </c>
      <c r="E283">
        <v>0</v>
      </c>
      <c r="F283">
        <v>2</v>
      </c>
      <c r="G283" t="s">
        <v>561</v>
      </c>
      <c r="H283" t="s">
        <v>811</v>
      </c>
      <c r="I283" t="s">
        <v>1126</v>
      </c>
      <c r="J283" t="s">
        <v>1371</v>
      </c>
      <c r="K283" t="s">
        <v>1592</v>
      </c>
      <c r="Z283" s="23" t="s">
        <v>2168</v>
      </c>
      <c r="AA283" s="23" t="s">
        <v>2168</v>
      </c>
      <c r="AI283">
        <f t="shared" si="43"/>
        <v>0</v>
      </c>
      <c r="AJ283">
        <f t="shared" si="44"/>
        <v>2</v>
      </c>
      <c r="AK283">
        <f t="shared" ca="1" si="45"/>
        <v>0</v>
      </c>
      <c r="AL283">
        <f t="shared" ca="1" si="46"/>
        <v>2</v>
      </c>
      <c r="AM283">
        <f t="shared" ca="1" si="47"/>
        <v>0</v>
      </c>
      <c r="AN283">
        <f t="shared" ca="1" si="48"/>
        <v>0</v>
      </c>
      <c r="AO283">
        <f t="shared" ca="1" si="49"/>
        <v>1</v>
      </c>
      <c r="AP283">
        <f t="shared" ca="1" si="50"/>
        <v>0</v>
      </c>
      <c r="AQ283">
        <f t="shared" ca="1" si="51"/>
        <v>0</v>
      </c>
      <c r="AR283">
        <f t="shared" ca="1" si="52"/>
        <v>0</v>
      </c>
      <c r="AS283">
        <v>0</v>
      </c>
    </row>
    <row r="284" spans="1:45" x14ac:dyDescent="0.3">
      <c r="A284" s="1">
        <v>539</v>
      </c>
      <c r="C284" t="s">
        <v>485</v>
      </c>
      <c r="D284">
        <v>2019</v>
      </c>
      <c r="E284">
        <v>0</v>
      </c>
      <c r="F284">
        <v>3</v>
      </c>
      <c r="G284" t="s">
        <v>561</v>
      </c>
      <c r="H284" t="s">
        <v>812</v>
      </c>
      <c r="I284" t="s">
        <v>1127</v>
      </c>
      <c r="J284" t="s">
        <v>1372</v>
      </c>
      <c r="K284" t="s">
        <v>1593</v>
      </c>
      <c r="L284" t="s">
        <v>1757</v>
      </c>
      <c r="M284" t="s">
        <v>1906</v>
      </c>
      <c r="Z284" s="22" t="s">
        <v>2167</v>
      </c>
      <c r="AA284" s="22" t="s">
        <v>2167</v>
      </c>
      <c r="AB284" s="22" t="s">
        <v>2167</v>
      </c>
      <c r="AI284">
        <f t="shared" si="43"/>
        <v>0</v>
      </c>
      <c r="AJ284">
        <f t="shared" si="44"/>
        <v>0</v>
      </c>
      <c r="AK284">
        <f t="shared" ca="1" si="45"/>
        <v>0</v>
      </c>
      <c r="AL284">
        <f t="shared" ca="1" si="46"/>
        <v>0</v>
      </c>
      <c r="AM284">
        <f t="shared" ca="1" si="47"/>
        <v>3</v>
      </c>
      <c r="AN284">
        <f t="shared" ca="1" si="48"/>
        <v>0</v>
      </c>
      <c r="AO284">
        <f t="shared" ca="1" si="49"/>
        <v>0</v>
      </c>
      <c r="AP284">
        <f t="shared" ca="1" si="50"/>
        <v>1</v>
      </c>
      <c r="AQ284">
        <f t="shared" ca="1" si="51"/>
        <v>1</v>
      </c>
      <c r="AR284">
        <f t="shared" ca="1" si="52"/>
        <v>0</v>
      </c>
      <c r="AS284">
        <v>0</v>
      </c>
    </row>
    <row r="285" spans="1:45" x14ac:dyDescent="0.3">
      <c r="A285" s="1">
        <v>540</v>
      </c>
      <c r="C285" t="s">
        <v>486</v>
      </c>
      <c r="D285">
        <v>2019</v>
      </c>
      <c r="E285">
        <v>0</v>
      </c>
      <c r="F285">
        <v>3</v>
      </c>
      <c r="G285" t="s">
        <v>561</v>
      </c>
      <c r="H285" t="s">
        <v>813</v>
      </c>
      <c r="I285" t="s">
        <v>1128</v>
      </c>
      <c r="J285" t="s">
        <v>1373</v>
      </c>
      <c r="K285" t="s">
        <v>1594</v>
      </c>
      <c r="L285" t="s">
        <v>1758</v>
      </c>
      <c r="M285" t="s">
        <v>1907</v>
      </c>
      <c r="Z285" s="22" t="s">
        <v>2167</v>
      </c>
      <c r="AA285" s="22" t="s">
        <v>2167</v>
      </c>
      <c r="AB285" s="22" t="s">
        <v>2167</v>
      </c>
      <c r="AI285">
        <f t="shared" si="43"/>
        <v>0</v>
      </c>
      <c r="AJ285">
        <f t="shared" si="44"/>
        <v>0</v>
      </c>
      <c r="AK285">
        <f t="shared" ca="1" si="45"/>
        <v>0</v>
      </c>
      <c r="AL285">
        <f t="shared" ca="1" si="46"/>
        <v>0</v>
      </c>
      <c r="AM285">
        <f t="shared" ca="1" si="47"/>
        <v>3</v>
      </c>
      <c r="AN285">
        <f t="shared" ca="1" si="48"/>
        <v>0</v>
      </c>
      <c r="AO285">
        <f t="shared" ca="1" si="49"/>
        <v>0</v>
      </c>
      <c r="AP285">
        <f t="shared" ca="1" si="50"/>
        <v>1</v>
      </c>
      <c r="AQ285">
        <f t="shared" ca="1" si="51"/>
        <v>1</v>
      </c>
      <c r="AR285">
        <f t="shared" ca="1" si="52"/>
        <v>0</v>
      </c>
      <c r="AS285">
        <v>0</v>
      </c>
    </row>
    <row r="286" spans="1:45" x14ac:dyDescent="0.3">
      <c r="A286" s="1">
        <v>541</v>
      </c>
      <c r="C286" t="s">
        <v>487</v>
      </c>
      <c r="D286">
        <v>2019</v>
      </c>
      <c r="E286">
        <v>0</v>
      </c>
      <c r="F286">
        <v>3</v>
      </c>
      <c r="G286" t="s">
        <v>561</v>
      </c>
      <c r="H286" t="s">
        <v>814</v>
      </c>
      <c r="I286" t="s">
        <v>1129</v>
      </c>
      <c r="J286" t="s">
        <v>1374</v>
      </c>
      <c r="K286" t="s">
        <v>1595</v>
      </c>
      <c r="L286" t="s">
        <v>1759</v>
      </c>
      <c r="M286" t="s">
        <v>1908</v>
      </c>
      <c r="Z286" s="21" t="s">
        <v>2166</v>
      </c>
      <c r="AA286" s="23" t="s">
        <v>2168</v>
      </c>
      <c r="AB286" s="23" t="s">
        <v>2168</v>
      </c>
      <c r="AI286">
        <f t="shared" si="43"/>
        <v>1</v>
      </c>
      <c r="AJ286">
        <f t="shared" si="44"/>
        <v>2</v>
      </c>
      <c r="AK286">
        <f t="shared" ca="1" si="45"/>
        <v>1</v>
      </c>
      <c r="AL286">
        <f t="shared" ca="1" si="46"/>
        <v>2</v>
      </c>
      <c r="AM286">
        <f t="shared" ca="1" si="47"/>
        <v>0</v>
      </c>
      <c r="AN286">
        <f t="shared" ca="1" si="48"/>
        <v>0</v>
      </c>
      <c r="AO286">
        <f t="shared" ca="1" si="49"/>
        <v>0</v>
      </c>
      <c r="AP286">
        <f t="shared" ca="1" si="50"/>
        <v>0</v>
      </c>
      <c r="AQ286">
        <f t="shared" ca="1" si="51"/>
        <v>1</v>
      </c>
      <c r="AR286">
        <f t="shared" ca="1" si="52"/>
        <v>0.33333333333333331</v>
      </c>
      <c r="AS286">
        <v>0</v>
      </c>
    </row>
    <row r="287" spans="1:45" x14ac:dyDescent="0.3">
      <c r="A287" s="1">
        <v>542</v>
      </c>
      <c r="C287" t="s">
        <v>488</v>
      </c>
      <c r="D287">
        <v>2019</v>
      </c>
      <c r="E287">
        <v>0</v>
      </c>
      <c r="F287">
        <v>2</v>
      </c>
      <c r="G287" t="s">
        <v>561</v>
      </c>
      <c r="H287" t="s">
        <v>815</v>
      </c>
      <c r="I287" t="s">
        <v>1130</v>
      </c>
      <c r="J287" t="s">
        <v>1375</v>
      </c>
      <c r="K287" t="s">
        <v>1596</v>
      </c>
      <c r="Z287" s="22" t="s">
        <v>2167</v>
      </c>
      <c r="AA287" s="22" t="s">
        <v>2167</v>
      </c>
      <c r="AI287">
        <f t="shared" si="43"/>
        <v>0</v>
      </c>
      <c r="AJ287">
        <f t="shared" si="44"/>
        <v>0</v>
      </c>
      <c r="AK287">
        <f t="shared" ca="1" si="45"/>
        <v>0</v>
      </c>
      <c r="AL287">
        <f t="shared" ca="1" si="46"/>
        <v>0</v>
      </c>
      <c r="AM287">
        <f t="shared" ca="1" si="47"/>
        <v>2</v>
      </c>
      <c r="AN287">
        <f t="shared" ca="1" si="48"/>
        <v>0</v>
      </c>
      <c r="AO287">
        <f t="shared" ca="1" si="49"/>
        <v>0</v>
      </c>
      <c r="AP287">
        <f t="shared" ca="1" si="50"/>
        <v>1</v>
      </c>
      <c r="AQ287">
        <f t="shared" ca="1" si="51"/>
        <v>1</v>
      </c>
      <c r="AR287">
        <f t="shared" ca="1" si="52"/>
        <v>0</v>
      </c>
      <c r="AS287">
        <v>0</v>
      </c>
    </row>
    <row r="288" spans="1:45" x14ac:dyDescent="0.3">
      <c r="A288" s="1">
        <v>543</v>
      </c>
      <c r="C288" t="s">
        <v>489</v>
      </c>
      <c r="D288">
        <v>2019</v>
      </c>
      <c r="E288">
        <v>0</v>
      </c>
      <c r="F288">
        <v>3</v>
      </c>
      <c r="G288" t="s">
        <v>561</v>
      </c>
      <c r="H288" t="s">
        <v>816</v>
      </c>
      <c r="I288" t="s">
        <v>1131</v>
      </c>
      <c r="J288" t="s">
        <v>1376</v>
      </c>
      <c r="K288" t="s">
        <v>1597</v>
      </c>
      <c r="L288" t="s">
        <v>1760</v>
      </c>
      <c r="M288" t="s">
        <v>1909</v>
      </c>
      <c r="Z288" s="22" t="s">
        <v>2167</v>
      </c>
      <c r="AA288" s="22" t="s">
        <v>2167</v>
      </c>
      <c r="AB288" s="22" t="s">
        <v>2167</v>
      </c>
      <c r="AI288">
        <f t="shared" si="43"/>
        <v>0</v>
      </c>
      <c r="AJ288">
        <f t="shared" si="44"/>
        <v>0</v>
      </c>
      <c r="AK288">
        <f t="shared" ca="1" si="45"/>
        <v>0</v>
      </c>
      <c r="AL288">
        <f t="shared" ca="1" si="46"/>
        <v>0</v>
      </c>
      <c r="AM288">
        <f t="shared" ca="1" si="47"/>
        <v>3</v>
      </c>
      <c r="AN288">
        <f t="shared" ca="1" si="48"/>
        <v>0</v>
      </c>
      <c r="AO288">
        <f t="shared" ca="1" si="49"/>
        <v>0</v>
      </c>
      <c r="AP288">
        <f t="shared" ca="1" si="50"/>
        <v>1</v>
      </c>
      <c r="AQ288">
        <f t="shared" ca="1" si="51"/>
        <v>1</v>
      </c>
      <c r="AR288">
        <f t="shared" ca="1" si="52"/>
        <v>0</v>
      </c>
      <c r="AS288">
        <v>0</v>
      </c>
    </row>
    <row r="289" spans="1:45" x14ac:dyDescent="0.3">
      <c r="A289" s="1">
        <v>544</v>
      </c>
      <c r="C289" t="s">
        <v>490</v>
      </c>
      <c r="D289">
        <v>2019</v>
      </c>
      <c r="E289">
        <v>0</v>
      </c>
      <c r="F289">
        <v>2</v>
      </c>
      <c r="G289" t="s">
        <v>561</v>
      </c>
      <c r="H289" t="s">
        <v>817</v>
      </c>
      <c r="I289" t="s">
        <v>1132</v>
      </c>
      <c r="J289" t="s">
        <v>1377</v>
      </c>
      <c r="K289" t="s">
        <v>1598</v>
      </c>
      <c r="Z289" s="21" t="s">
        <v>2166</v>
      </c>
      <c r="AA289" s="22" t="s">
        <v>2167</v>
      </c>
      <c r="AI289">
        <f t="shared" si="43"/>
        <v>1</v>
      </c>
      <c r="AJ289">
        <f t="shared" si="44"/>
        <v>0</v>
      </c>
      <c r="AK289">
        <f t="shared" ca="1" si="45"/>
        <v>1</v>
      </c>
      <c r="AL289">
        <f t="shared" ca="1" si="46"/>
        <v>0</v>
      </c>
      <c r="AM289">
        <f t="shared" ca="1" si="47"/>
        <v>1</v>
      </c>
      <c r="AN289">
        <f t="shared" ca="1" si="48"/>
        <v>0</v>
      </c>
      <c r="AO289">
        <f t="shared" ca="1" si="49"/>
        <v>0</v>
      </c>
      <c r="AP289">
        <f t="shared" ca="1" si="50"/>
        <v>1</v>
      </c>
      <c r="AQ289">
        <f t="shared" ca="1" si="51"/>
        <v>1</v>
      </c>
      <c r="AR289">
        <f t="shared" ca="1" si="52"/>
        <v>0.5</v>
      </c>
      <c r="AS289">
        <v>0</v>
      </c>
    </row>
    <row r="290" spans="1:45" x14ac:dyDescent="0.3">
      <c r="A290" s="1">
        <v>545</v>
      </c>
      <c r="C290" t="s">
        <v>491</v>
      </c>
      <c r="D290">
        <v>2019</v>
      </c>
      <c r="E290">
        <v>0</v>
      </c>
      <c r="F290">
        <v>2</v>
      </c>
      <c r="G290" t="s">
        <v>561</v>
      </c>
      <c r="H290" t="s">
        <v>818</v>
      </c>
      <c r="I290" t="s">
        <v>1133</v>
      </c>
      <c r="J290" t="s">
        <v>1378</v>
      </c>
      <c r="K290" t="s">
        <v>1599</v>
      </c>
      <c r="Z290" s="22" t="s">
        <v>2167</v>
      </c>
      <c r="AA290" s="22" t="s">
        <v>2167</v>
      </c>
      <c r="AI290">
        <f t="shared" si="43"/>
        <v>0</v>
      </c>
      <c r="AJ290">
        <f t="shared" si="44"/>
        <v>0</v>
      </c>
      <c r="AK290">
        <f t="shared" ca="1" si="45"/>
        <v>0</v>
      </c>
      <c r="AL290">
        <f t="shared" ca="1" si="46"/>
        <v>0</v>
      </c>
      <c r="AM290">
        <f t="shared" ca="1" si="47"/>
        <v>2</v>
      </c>
      <c r="AN290">
        <f t="shared" ca="1" si="48"/>
        <v>0</v>
      </c>
      <c r="AO290">
        <f t="shared" ca="1" si="49"/>
        <v>0</v>
      </c>
      <c r="AP290">
        <f t="shared" ca="1" si="50"/>
        <v>1</v>
      </c>
      <c r="AQ290">
        <f t="shared" ca="1" si="51"/>
        <v>1</v>
      </c>
      <c r="AR290">
        <f t="shared" ca="1" si="52"/>
        <v>0</v>
      </c>
      <c r="AS290">
        <v>0</v>
      </c>
    </row>
    <row r="291" spans="1:45" x14ac:dyDescent="0.3">
      <c r="A291" s="1">
        <v>546</v>
      </c>
      <c r="C291" t="s">
        <v>492</v>
      </c>
      <c r="D291">
        <v>2019</v>
      </c>
      <c r="E291">
        <v>0</v>
      </c>
      <c r="F291">
        <v>3</v>
      </c>
      <c r="G291" t="s">
        <v>561</v>
      </c>
      <c r="H291" t="s">
        <v>819</v>
      </c>
      <c r="I291" t="s">
        <v>1024</v>
      </c>
      <c r="J291" t="s">
        <v>1379</v>
      </c>
      <c r="K291" t="s">
        <v>1600</v>
      </c>
      <c r="L291" t="s">
        <v>1761</v>
      </c>
      <c r="M291" t="s">
        <v>1587</v>
      </c>
      <c r="Z291" s="23" t="s">
        <v>2168</v>
      </c>
      <c r="AA291" s="21" t="s">
        <v>2166</v>
      </c>
      <c r="AB291" s="22" t="s">
        <v>2167</v>
      </c>
      <c r="AI291">
        <f t="shared" si="43"/>
        <v>1</v>
      </c>
      <c r="AJ291">
        <f t="shared" si="44"/>
        <v>1</v>
      </c>
      <c r="AK291">
        <f t="shared" ca="1" si="45"/>
        <v>1</v>
      </c>
      <c r="AL291">
        <f t="shared" ca="1" si="46"/>
        <v>1</v>
      </c>
      <c r="AM291">
        <f t="shared" ca="1" si="47"/>
        <v>1</v>
      </c>
      <c r="AN291">
        <f t="shared" ca="1" si="48"/>
        <v>0</v>
      </c>
      <c r="AO291">
        <f t="shared" ca="1" si="49"/>
        <v>0</v>
      </c>
      <c r="AP291">
        <f t="shared" ca="1" si="50"/>
        <v>1</v>
      </c>
      <c r="AQ291">
        <f t="shared" ca="1" si="51"/>
        <v>1</v>
      </c>
      <c r="AR291">
        <f t="shared" ca="1" si="52"/>
        <v>0.33333333333333331</v>
      </c>
      <c r="AS291">
        <v>0</v>
      </c>
    </row>
    <row r="292" spans="1:45" x14ac:dyDescent="0.3">
      <c r="A292" s="1">
        <v>547</v>
      </c>
      <c r="C292" t="s">
        <v>493</v>
      </c>
      <c r="D292">
        <v>2020</v>
      </c>
      <c r="E292">
        <v>0</v>
      </c>
      <c r="F292">
        <v>4</v>
      </c>
      <c r="G292" t="s">
        <v>561</v>
      </c>
      <c r="H292" t="s">
        <v>820</v>
      </c>
      <c r="I292" t="s">
        <v>1134</v>
      </c>
      <c r="J292" t="s">
        <v>1380</v>
      </c>
      <c r="K292" t="s">
        <v>1601</v>
      </c>
      <c r="L292" t="s">
        <v>1762</v>
      </c>
      <c r="M292" t="s">
        <v>1910</v>
      </c>
      <c r="N292" t="s">
        <v>1984</v>
      </c>
      <c r="O292" t="s">
        <v>2042</v>
      </c>
      <c r="Z292" s="22" t="s">
        <v>2167</v>
      </c>
      <c r="AA292" s="22" t="s">
        <v>2167</v>
      </c>
      <c r="AB292" s="22" t="s">
        <v>2167</v>
      </c>
      <c r="AC292" s="22" t="s">
        <v>2167</v>
      </c>
      <c r="AI292">
        <f t="shared" si="43"/>
        <v>0</v>
      </c>
      <c r="AJ292">
        <f t="shared" si="44"/>
        <v>0</v>
      </c>
      <c r="AK292">
        <f t="shared" ca="1" si="45"/>
        <v>0</v>
      </c>
      <c r="AL292">
        <f t="shared" ca="1" si="46"/>
        <v>0</v>
      </c>
      <c r="AM292">
        <f t="shared" ca="1" si="47"/>
        <v>4</v>
      </c>
      <c r="AN292">
        <f t="shared" ca="1" si="48"/>
        <v>0</v>
      </c>
      <c r="AO292">
        <f t="shared" ca="1" si="49"/>
        <v>0</v>
      </c>
      <c r="AP292">
        <f t="shared" ca="1" si="50"/>
        <v>1</v>
      </c>
      <c r="AQ292">
        <f t="shared" ca="1" si="51"/>
        <v>1</v>
      </c>
      <c r="AR292">
        <f t="shared" ca="1" si="52"/>
        <v>0</v>
      </c>
      <c r="AS292">
        <v>0</v>
      </c>
    </row>
    <row r="293" spans="1:45" x14ac:dyDescent="0.3">
      <c r="A293" s="1">
        <v>548</v>
      </c>
      <c r="C293" t="s">
        <v>494</v>
      </c>
      <c r="D293">
        <v>2020</v>
      </c>
      <c r="E293">
        <v>0</v>
      </c>
      <c r="F293">
        <v>1</v>
      </c>
      <c r="G293" t="s">
        <v>561</v>
      </c>
      <c r="H293" t="s">
        <v>753</v>
      </c>
      <c r="I293" t="s">
        <v>1071</v>
      </c>
      <c r="Z293" s="22" t="s">
        <v>2167</v>
      </c>
      <c r="AI293">
        <f t="shared" si="43"/>
        <v>0</v>
      </c>
      <c r="AJ293">
        <f t="shared" si="44"/>
        <v>0</v>
      </c>
      <c r="AK293">
        <f t="shared" ca="1" si="45"/>
        <v>0</v>
      </c>
      <c r="AL293">
        <f t="shared" ca="1" si="46"/>
        <v>0</v>
      </c>
      <c r="AM293">
        <f t="shared" ca="1" si="47"/>
        <v>1</v>
      </c>
      <c r="AN293">
        <f t="shared" ca="1" si="48"/>
        <v>0</v>
      </c>
      <c r="AO293">
        <f t="shared" ca="1" si="49"/>
        <v>0</v>
      </c>
      <c r="AP293">
        <f t="shared" ca="1" si="50"/>
        <v>1</v>
      </c>
      <c r="AQ293">
        <f t="shared" ca="1" si="51"/>
        <v>1</v>
      </c>
      <c r="AR293">
        <f t="shared" ca="1" si="52"/>
        <v>0</v>
      </c>
      <c r="AS293">
        <v>0</v>
      </c>
    </row>
    <row r="294" spans="1:45" x14ac:dyDescent="0.3">
      <c r="A294" s="1">
        <v>549</v>
      </c>
      <c r="C294" t="s">
        <v>495</v>
      </c>
      <c r="D294">
        <v>2020</v>
      </c>
      <c r="E294">
        <v>0</v>
      </c>
      <c r="F294">
        <v>1</v>
      </c>
      <c r="G294" t="s">
        <v>561</v>
      </c>
      <c r="H294" t="s">
        <v>821</v>
      </c>
      <c r="I294" t="s">
        <v>1135</v>
      </c>
      <c r="Z294" s="22" t="s">
        <v>2167</v>
      </c>
      <c r="AI294">
        <f t="shared" si="43"/>
        <v>0</v>
      </c>
      <c r="AJ294">
        <f t="shared" si="44"/>
        <v>0</v>
      </c>
      <c r="AK294">
        <f t="shared" ca="1" si="45"/>
        <v>0</v>
      </c>
      <c r="AL294">
        <f t="shared" ca="1" si="46"/>
        <v>0</v>
      </c>
      <c r="AM294">
        <f t="shared" ca="1" si="47"/>
        <v>1</v>
      </c>
      <c r="AN294">
        <f t="shared" ca="1" si="48"/>
        <v>0</v>
      </c>
      <c r="AO294">
        <f t="shared" ca="1" si="49"/>
        <v>0</v>
      </c>
      <c r="AP294">
        <f t="shared" ca="1" si="50"/>
        <v>1</v>
      </c>
      <c r="AQ294">
        <f t="shared" ca="1" si="51"/>
        <v>1</v>
      </c>
      <c r="AR294">
        <f t="shared" ca="1" si="52"/>
        <v>0</v>
      </c>
      <c r="AS294">
        <v>0</v>
      </c>
    </row>
    <row r="295" spans="1:45" x14ac:dyDescent="0.3">
      <c r="A295" s="1">
        <v>550</v>
      </c>
      <c r="C295" t="s">
        <v>496</v>
      </c>
      <c r="D295">
        <v>2020</v>
      </c>
      <c r="E295">
        <v>0</v>
      </c>
      <c r="F295">
        <v>1</v>
      </c>
      <c r="G295" t="s">
        <v>561</v>
      </c>
      <c r="H295" t="s">
        <v>822</v>
      </c>
      <c r="I295" t="s">
        <v>1136</v>
      </c>
      <c r="Z295" s="23" t="s">
        <v>2168</v>
      </c>
      <c r="AI295">
        <f t="shared" si="43"/>
        <v>0</v>
      </c>
      <c r="AJ295">
        <f t="shared" si="44"/>
        <v>1</v>
      </c>
      <c r="AK295">
        <f t="shared" ca="1" si="45"/>
        <v>0</v>
      </c>
      <c r="AL295">
        <f t="shared" ca="1" si="46"/>
        <v>1</v>
      </c>
      <c r="AM295">
        <f t="shared" ca="1" si="47"/>
        <v>0</v>
      </c>
      <c r="AN295">
        <f t="shared" ca="1" si="48"/>
        <v>0</v>
      </c>
      <c r="AO295">
        <f t="shared" ca="1" si="49"/>
        <v>1</v>
      </c>
      <c r="AP295">
        <f t="shared" ca="1" si="50"/>
        <v>0</v>
      </c>
      <c r="AQ295">
        <f t="shared" ca="1" si="51"/>
        <v>0</v>
      </c>
      <c r="AR295">
        <f t="shared" ca="1" si="52"/>
        <v>0</v>
      </c>
      <c r="AS295">
        <v>0</v>
      </c>
    </row>
    <row r="296" spans="1:45" x14ac:dyDescent="0.3">
      <c r="A296" s="1">
        <v>551</v>
      </c>
      <c r="C296" t="s">
        <v>497</v>
      </c>
      <c r="D296">
        <v>2020</v>
      </c>
      <c r="E296">
        <v>0</v>
      </c>
      <c r="F296">
        <v>1</v>
      </c>
      <c r="G296" t="s">
        <v>561</v>
      </c>
      <c r="H296" t="s">
        <v>823</v>
      </c>
      <c r="I296" t="s">
        <v>1137</v>
      </c>
      <c r="Z296" s="21" t="s">
        <v>2166</v>
      </c>
      <c r="AI296">
        <f t="shared" si="43"/>
        <v>1</v>
      </c>
      <c r="AJ296">
        <f t="shared" si="44"/>
        <v>0</v>
      </c>
      <c r="AK296">
        <f t="shared" ca="1" si="45"/>
        <v>1</v>
      </c>
      <c r="AL296">
        <f t="shared" ca="1" si="46"/>
        <v>0</v>
      </c>
      <c r="AM296">
        <f t="shared" ca="1" si="47"/>
        <v>0</v>
      </c>
      <c r="AN296">
        <f t="shared" ca="1" si="48"/>
        <v>1</v>
      </c>
      <c r="AO296">
        <f t="shared" ca="1" si="49"/>
        <v>0</v>
      </c>
      <c r="AP296">
        <f t="shared" ca="1" si="50"/>
        <v>0</v>
      </c>
      <c r="AQ296">
        <f t="shared" ca="1" si="51"/>
        <v>0</v>
      </c>
      <c r="AR296">
        <f t="shared" ca="1" si="52"/>
        <v>1</v>
      </c>
      <c r="AS296">
        <v>0</v>
      </c>
    </row>
    <row r="297" spans="1:45" x14ac:dyDescent="0.3">
      <c r="A297" s="1">
        <v>552</v>
      </c>
      <c r="C297" t="s">
        <v>498</v>
      </c>
      <c r="D297">
        <v>2020</v>
      </c>
      <c r="E297">
        <v>0</v>
      </c>
      <c r="F297">
        <v>2</v>
      </c>
      <c r="G297" t="s">
        <v>561</v>
      </c>
      <c r="H297" t="s">
        <v>824</v>
      </c>
      <c r="I297" t="s">
        <v>1138</v>
      </c>
      <c r="J297" t="s">
        <v>1381</v>
      </c>
      <c r="K297" t="s">
        <v>1602</v>
      </c>
      <c r="Z297" s="23" t="s">
        <v>2168</v>
      </c>
      <c r="AA297" s="22" t="s">
        <v>2167</v>
      </c>
      <c r="AI297">
        <f t="shared" si="43"/>
        <v>0</v>
      </c>
      <c r="AJ297">
        <f t="shared" si="44"/>
        <v>1</v>
      </c>
      <c r="AK297">
        <f t="shared" ca="1" si="45"/>
        <v>0</v>
      </c>
      <c r="AL297">
        <f t="shared" ca="1" si="46"/>
        <v>1</v>
      </c>
      <c r="AM297">
        <f t="shared" ca="1" si="47"/>
        <v>1</v>
      </c>
      <c r="AN297">
        <f t="shared" ca="1" si="48"/>
        <v>0</v>
      </c>
      <c r="AO297">
        <f t="shared" ca="1" si="49"/>
        <v>0</v>
      </c>
      <c r="AP297">
        <f t="shared" ca="1" si="50"/>
        <v>1</v>
      </c>
      <c r="AQ297">
        <f t="shared" ca="1" si="51"/>
        <v>1</v>
      </c>
      <c r="AR297">
        <f t="shared" ca="1" si="52"/>
        <v>0</v>
      </c>
      <c r="AS297">
        <v>0</v>
      </c>
    </row>
    <row r="298" spans="1:45" x14ac:dyDescent="0.3">
      <c r="A298" s="1">
        <v>553</v>
      </c>
      <c r="B298" s="2" t="s">
        <v>195</v>
      </c>
      <c r="C298" t="s">
        <v>499</v>
      </c>
      <c r="D298">
        <v>2020</v>
      </c>
      <c r="E298">
        <v>0</v>
      </c>
      <c r="F298">
        <v>1</v>
      </c>
      <c r="G298" t="s">
        <v>561</v>
      </c>
      <c r="H298" t="s">
        <v>825</v>
      </c>
      <c r="I298" t="s">
        <v>1139</v>
      </c>
      <c r="Z298" s="21" t="s">
        <v>2166</v>
      </c>
      <c r="AI298">
        <f t="shared" si="43"/>
        <v>1</v>
      </c>
      <c r="AJ298">
        <f t="shared" si="44"/>
        <v>0</v>
      </c>
      <c r="AK298">
        <f t="shared" ca="1" si="45"/>
        <v>1</v>
      </c>
      <c r="AL298">
        <f t="shared" ca="1" si="46"/>
        <v>0</v>
      </c>
      <c r="AM298">
        <f t="shared" ca="1" si="47"/>
        <v>0</v>
      </c>
      <c r="AN298">
        <f t="shared" ca="1" si="48"/>
        <v>1</v>
      </c>
      <c r="AO298">
        <f t="shared" ca="1" si="49"/>
        <v>0</v>
      </c>
      <c r="AP298">
        <f t="shared" ca="1" si="50"/>
        <v>0</v>
      </c>
      <c r="AQ298">
        <f t="shared" ca="1" si="51"/>
        <v>0</v>
      </c>
      <c r="AR298">
        <f t="shared" ca="1" si="52"/>
        <v>1</v>
      </c>
      <c r="AS298">
        <v>0</v>
      </c>
    </row>
    <row r="299" spans="1:45" x14ac:dyDescent="0.3">
      <c r="A299" s="1">
        <v>554</v>
      </c>
      <c r="C299" t="s">
        <v>500</v>
      </c>
      <c r="D299">
        <v>2020</v>
      </c>
      <c r="E299">
        <v>0</v>
      </c>
      <c r="F299">
        <v>7</v>
      </c>
      <c r="G299" t="s">
        <v>561</v>
      </c>
      <c r="H299" t="s">
        <v>826</v>
      </c>
      <c r="I299" t="s">
        <v>1140</v>
      </c>
      <c r="J299" t="s">
        <v>1382</v>
      </c>
      <c r="K299" t="s">
        <v>1603</v>
      </c>
      <c r="L299" t="s">
        <v>1763</v>
      </c>
      <c r="M299" t="s">
        <v>1583</v>
      </c>
      <c r="N299" t="s">
        <v>846</v>
      </c>
      <c r="O299" t="s">
        <v>1158</v>
      </c>
      <c r="P299" t="s">
        <v>2075</v>
      </c>
      <c r="Q299" t="s">
        <v>2099</v>
      </c>
      <c r="R299" t="s">
        <v>2117</v>
      </c>
      <c r="S299" t="s">
        <v>2131</v>
      </c>
      <c r="T299" t="s">
        <v>1418</v>
      </c>
      <c r="U299" t="s">
        <v>1635</v>
      </c>
      <c r="Z299" s="22" t="s">
        <v>2167</v>
      </c>
      <c r="AA299" s="22" t="s">
        <v>2167</v>
      </c>
      <c r="AB299" s="22" t="s">
        <v>2167</v>
      </c>
      <c r="AC299" s="22" t="s">
        <v>2167</v>
      </c>
      <c r="AD299" s="22" t="s">
        <v>2167</v>
      </c>
      <c r="AE299" s="22" t="s">
        <v>2167</v>
      </c>
      <c r="AF299" s="22" t="s">
        <v>2167</v>
      </c>
      <c r="AI299">
        <f t="shared" si="43"/>
        <v>0</v>
      </c>
      <c r="AJ299">
        <f t="shared" si="44"/>
        <v>0</v>
      </c>
      <c r="AK299">
        <f t="shared" ca="1" si="45"/>
        <v>0</v>
      </c>
      <c r="AL299">
        <f t="shared" ca="1" si="46"/>
        <v>0</v>
      </c>
      <c r="AM299">
        <f t="shared" ca="1" si="47"/>
        <v>7</v>
      </c>
      <c r="AN299">
        <f t="shared" ca="1" si="48"/>
        <v>0</v>
      </c>
      <c r="AO299">
        <f t="shared" ca="1" si="49"/>
        <v>0</v>
      </c>
      <c r="AP299">
        <f t="shared" ca="1" si="50"/>
        <v>1</v>
      </c>
      <c r="AQ299">
        <f t="shared" ca="1" si="51"/>
        <v>1</v>
      </c>
      <c r="AR299">
        <f t="shared" ca="1" si="52"/>
        <v>0</v>
      </c>
      <c r="AS299">
        <v>0</v>
      </c>
    </row>
    <row r="300" spans="1:45" x14ac:dyDescent="0.3">
      <c r="A300" s="1">
        <v>555</v>
      </c>
      <c r="C300" t="s">
        <v>501</v>
      </c>
      <c r="D300">
        <v>2020</v>
      </c>
      <c r="E300">
        <v>0</v>
      </c>
      <c r="F300">
        <v>3</v>
      </c>
      <c r="G300" t="s">
        <v>561</v>
      </c>
      <c r="H300" t="s">
        <v>827</v>
      </c>
      <c r="I300" t="s">
        <v>1141</v>
      </c>
      <c r="J300" t="s">
        <v>1383</v>
      </c>
      <c r="K300" t="s">
        <v>1604</v>
      </c>
      <c r="L300" t="s">
        <v>1764</v>
      </c>
      <c r="M300" t="s">
        <v>1911</v>
      </c>
      <c r="Z300" s="23" t="s">
        <v>2168</v>
      </c>
      <c r="AA300" s="21" t="s">
        <v>2166</v>
      </c>
      <c r="AB300" s="22" t="s">
        <v>2167</v>
      </c>
      <c r="AI300">
        <f t="shared" si="43"/>
        <v>1</v>
      </c>
      <c r="AJ300">
        <f t="shared" si="44"/>
        <v>1</v>
      </c>
      <c r="AK300">
        <f t="shared" ca="1" si="45"/>
        <v>1</v>
      </c>
      <c r="AL300">
        <f t="shared" ca="1" si="46"/>
        <v>1</v>
      </c>
      <c r="AM300">
        <f t="shared" ca="1" si="47"/>
        <v>1</v>
      </c>
      <c r="AN300">
        <f t="shared" ca="1" si="48"/>
        <v>0</v>
      </c>
      <c r="AO300">
        <f t="shared" ca="1" si="49"/>
        <v>0</v>
      </c>
      <c r="AP300">
        <f t="shared" ca="1" si="50"/>
        <v>1</v>
      </c>
      <c r="AQ300">
        <f t="shared" ca="1" si="51"/>
        <v>1</v>
      </c>
      <c r="AR300">
        <f t="shared" ca="1" si="52"/>
        <v>0.33333333333333331</v>
      </c>
      <c r="AS300">
        <v>0</v>
      </c>
    </row>
    <row r="301" spans="1:45" x14ac:dyDescent="0.3">
      <c r="A301" s="1">
        <v>556</v>
      </c>
      <c r="C301" t="s">
        <v>502</v>
      </c>
      <c r="D301">
        <v>2020</v>
      </c>
      <c r="E301">
        <v>0</v>
      </c>
      <c r="F301">
        <v>4</v>
      </c>
      <c r="G301" t="s">
        <v>561</v>
      </c>
      <c r="H301" t="s">
        <v>828</v>
      </c>
      <c r="I301" t="s">
        <v>1037</v>
      </c>
      <c r="J301" t="s">
        <v>1384</v>
      </c>
      <c r="K301" t="s">
        <v>1605</v>
      </c>
      <c r="L301" t="s">
        <v>1765</v>
      </c>
      <c r="M301" t="s">
        <v>1912</v>
      </c>
      <c r="N301" t="s">
        <v>1314</v>
      </c>
      <c r="O301" t="s">
        <v>1532</v>
      </c>
      <c r="Z301" s="21" t="s">
        <v>2166</v>
      </c>
      <c r="AA301" s="21" t="s">
        <v>2166</v>
      </c>
      <c r="AB301" s="23" t="s">
        <v>2168</v>
      </c>
      <c r="AC301" s="23" t="s">
        <v>2168</v>
      </c>
      <c r="AI301">
        <f t="shared" si="43"/>
        <v>2</v>
      </c>
      <c r="AJ301">
        <f t="shared" si="44"/>
        <v>2</v>
      </c>
      <c r="AK301">
        <f t="shared" ca="1" si="45"/>
        <v>2</v>
      </c>
      <c r="AL301">
        <f t="shared" ca="1" si="46"/>
        <v>2</v>
      </c>
      <c r="AM301">
        <f t="shared" ca="1" si="47"/>
        <v>0</v>
      </c>
      <c r="AN301">
        <f t="shared" ca="1" si="48"/>
        <v>0</v>
      </c>
      <c r="AO301">
        <f t="shared" ca="1" si="49"/>
        <v>0</v>
      </c>
      <c r="AP301">
        <f t="shared" ca="1" si="50"/>
        <v>0</v>
      </c>
      <c r="AQ301">
        <f t="shared" ca="1" si="51"/>
        <v>1</v>
      </c>
      <c r="AR301">
        <f t="shared" ca="1" si="52"/>
        <v>0.125</v>
      </c>
      <c r="AS301">
        <v>0</v>
      </c>
    </row>
    <row r="302" spans="1:45" x14ac:dyDescent="0.3">
      <c r="A302" s="1">
        <v>557</v>
      </c>
      <c r="C302" t="s">
        <v>503</v>
      </c>
      <c r="D302">
        <v>2020</v>
      </c>
      <c r="E302">
        <v>0</v>
      </c>
      <c r="F302">
        <v>3</v>
      </c>
      <c r="G302" t="s">
        <v>561</v>
      </c>
      <c r="H302" t="s">
        <v>829</v>
      </c>
      <c r="I302" t="s">
        <v>1142</v>
      </c>
      <c r="J302" t="s">
        <v>1385</v>
      </c>
      <c r="K302" t="s">
        <v>1606</v>
      </c>
      <c r="L302" t="s">
        <v>1766</v>
      </c>
      <c r="M302" t="s">
        <v>1913</v>
      </c>
      <c r="Z302" s="22" t="s">
        <v>2167</v>
      </c>
      <c r="AA302" s="22" t="s">
        <v>2167</v>
      </c>
      <c r="AB302" s="22" t="s">
        <v>2167</v>
      </c>
      <c r="AI302">
        <f t="shared" si="43"/>
        <v>0</v>
      </c>
      <c r="AJ302">
        <f t="shared" si="44"/>
        <v>0</v>
      </c>
      <c r="AK302">
        <f t="shared" ca="1" si="45"/>
        <v>0</v>
      </c>
      <c r="AL302">
        <f t="shared" ca="1" si="46"/>
        <v>0</v>
      </c>
      <c r="AM302">
        <f t="shared" ca="1" si="47"/>
        <v>3</v>
      </c>
      <c r="AN302">
        <f t="shared" ca="1" si="48"/>
        <v>0</v>
      </c>
      <c r="AO302">
        <f t="shared" ca="1" si="49"/>
        <v>0</v>
      </c>
      <c r="AP302">
        <f t="shared" ca="1" si="50"/>
        <v>1</v>
      </c>
      <c r="AQ302">
        <f t="shared" ca="1" si="51"/>
        <v>1</v>
      </c>
      <c r="AR302">
        <f t="shared" ca="1" si="52"/>
        <v>0</v>
      </c>
      <c r="AS302">
        <v>0</v>
      </c>
    </row>
    <row r="303" spans="1:45" x14ac:dyDescent="0.3">
      <c r="A303" s="1">
        <v>558</v>
      </c>
      <c r="C303" t="s">
        <v>504</v>
      </c>
      <c r="D303">
        <v>2020</v>
      </c>
      <c r="E303">
        <v>0</v>
      </c>
      <c r="F303">
        <v>3</v>
      </c>
      <c r="G303" t="s">
        <v>561</v>
      </c>
      <c r="H303" t="s">
        <v>830</v>
      </c>
      <c r="I303" t="s">
        <v>1143</v>
      </c>
      <c r="J303" t="s">
        <v>1386</v>
      </c>
      <c r="K303" t="s">
        <v>1607</v>
      </c>
      <c r="L303" t="s">
        <v>1767</v>
      </c>
      <c r="M303" t="s">
        <v>1914</v>
      </c>
      <c r="Z303" s="23" t="s">
        <v>2168</v>
      </c>
      <c r="AA303" s="21" t="s">
        <v>2166</v>
      </c>
      <c r="AB303" s="21" t="s">
        <v>2166</v>
      </c>
      <c r="AI303">
        <f t="shared" si="43"/>
        <v>2</v>
      </c>
      <c r="AJ303">
        <f t="shared" si="44"/>
        <v>1</v>
      </c>
      <c r="AK303">
        <f t="shared" ca="1" si="45"/>
        <v>2</v>
      </c>
      <c r="AL303">
        <f t="shared" ca="1" si="46"/>
        <v>1</v>
      </c>
      <c r="AM303">
        <f t="shared" ca="1" si="47"/>
        <v>0</v>
      </c>
      <c r="AN303">
        <f t="shared" ca="1" si="48"/>
        <v>0</v>
      </c>
      <c r="AO303">
        <f t="shared" ca="1" si="49"/>
        <v>0</v>
      </c>
      <c r="AP303">
        <f t="shared" ca="1" si="50"/>
        <v>0</v>
      </c>
      <c r="AQ303">
        <f t="shared" ca="1" si="51"/>
        <v>1</v>
      </c>
      <c r="AR303">
        <f t="shared" ca="1" si="52"/>
        <v>0.22222222222222221</v>
      </c>
      <c r="AS303">
        <v>0</v>
      </c>
    </row>
    <row r="304" spans="1:45" x14ac:dyDescent="0.3">
      <c r="A304" s="1">
        <v>559</v>
      </c>
      <c r="C304" t="s">
        <v>505</v>
      </c>
      <c r="D304">
        <v>2020</v>
      </c>
      <c r="E304">
        <v>0</v>
      </c>
      <c r="F304">
        <v>3</v>
      </c>
      <c r="G304" t="s">
        <v>561</v>
      </c>
      <c r="H304" t="s">
        <v>831</v>
      </c>
      <c r="I304" t="s">
        <v>1141</v>
      </c>
      <c r="J304" t="s">
        <v>1387</v>
      </c>
      <c r="K304" t="s">
        <v>1604</v>
      </c>
      <c r="L304" t="s">
        <v>1768</v>
      </c>
      <c r="M304" t="s">
        <v>1911</v>
      </c>
      <c r="Z304" s="23" t="s">
        <v>2168</v>
      </c>
      <c r="AA304" s="21" t="s">
        <v>2166</v>
      </c>
      <c r="AB304" s="22" t="s">
        <v>2167</v>
      </c>
      <c r="AI304">
        <f t="shared" si="43"/>
        <v>1</v>
      </c>
      <c r="AJ304">
        <f t="shared" si="44"/>
        <v>1</v>
      </c>
      <c r="AK304">
        <f t="shared" ca="1" si="45"/>
        <v>1</v>
      </c>
      <c r="AL304">
        <f t="shared" ca="1" si="46"/>
        <v>1</v>
      </c>
      <c r="AM304">
        <f t="shared" ca="1" si="47"/>
        <v>1</v>
      </c>
      <c r="AN304">
        <f t="shared" ca="1" si="48"/>
        <v>0</v>
      </c>
      <c r="AO304">
        <f t="shared" ca="1" si="49"/>
        <v>0</v>
      </c>
      <c r="AP304">
        <f t="shared" ca="1" si="50"/>
        <v>1</v>
      </c>
      <c r="AQ304">
        <f t="shared" ca="1" si="51"/>
        <v>1</v>
      </c>
      <c r="AR304">
        <f t="shared" ca="1" si="52"/>
        <v>0.33333333333333331</v>
      </c>
      <c r="AS304">
        <v>0</v>
      </c>
    </row>
    <row r="305" spans="1:45" x14ac:dyDescent="0.3">
      <c r="A305" s="1">
        <v>560</v>
      </c>
      <c r="C305" t="s">
        <v>506</v>
      </c>
      <c r="D305">
        <v>2020</v>
      </c>
      <c r="E305">
        <v>0</v>
      </c>
      <c r="F305">
        <v>1</v>
      </c>
      <c r="G305" t="s">
        <v>561</v>
      </c>
      <c r="H305" t="s">
        <v>832</v>
      </c>
      <c r="I305" t="s">
        <v>1144</v>
      </c>
      <c r="Z305" s="22" t="s">
        <v>2167</v>
      </c>
      <c r="AI305">
        <f t="shared" si="43"/>
        <v>0</v>
      </c>
      <c r="AJ305">
        <f t="shared" si="44"/>
        <v>0</v>
      </c>
      <c r="AK305">
        <f t="shared" ca="1" si="45"/>
        <v>0</v>
      </c>
      <c r="AL305">
        <f t="shared" ca="1" si="46"/>
        <v>0</v>
      </c>
      <c r="AM305">
        <f t="shared" ca="1" si="47"/>
        <v>1</v>
      </c>
      <c r="AN305">
        <f t="shared" ca="1" si="48"/>
        <v>0</v>
      </c>
      <c r="AO305">
        <f t="shared" ca="1" si="49"/>
        <v>0</v>
      </c>
      <c r="AP305">
        <f t="shared" ca="1" si="50"/>
        <v>1</v>
      </c>
      <c r="AQ305">
        <f t="shared" ca="1" si="51"/>
        <v>1</v>
      </c>
      <c r="AR305">
        <f t="shared" ca="1" si="52"/>
        <v>0</v>
      </c>
      <c r="AS305">
        <v>0</v>
      </c>
    </row>
    <row r="306" spans="1:45" x14ac:dyDescent="0.3">
      <c r="A306" s="1">
        <v>561</v>
      </c>
      <c r="C306" t="s">
        <v>507</v>
      </c>
      <c r="D306">
        <v>2020</v>
      </c>
      <c r="E306">
        <v>0</v>
      </c>
      <c r="F306">
        <v>4</v>
      </c>
      <c r="G306" t="s">
        <v>561</v>
      </c>
      <c r="H306" t="s">
        <v>833</v>
      </c>
      <c r="I306" t="s">
        <v>1145</v>
      </c>
      <c r="J306" t="s">
        <v>1388</v>
      </c>
      <c r="K306" t="s">
        <v>1608</v>
      </c>
      <c r="L306" t="s">
        <v>1769</v>
      </c>
      <c r="M306" t="s">
        <v>1915</v>
      </c>
      <c r="N306" t="s">
        <v>1777</v>
      </c>
      <c r="O306" t="s">
        <v>1923</v>
      </c>
      <c r="Z306" s="23" t="s">
        <v>2168</v>
      </c>
      <c r="AA306" s="22" t="s">
        <v>2167</v>
      </c>
      <c r="AB306" s="23" t="s">
        <v>2168</v>
      </c>
      <c r="AC306" s="23" t="s">
        <v>2168</v>
      </c>
      <c r="AI306">
        <f t="shared" si="43"/>
        <v>0</v>
      </c>
      <c r="AJ306">
        <f t="shared" si="44"/>
        <v>3</v>
      </c>
      <c r="AK306">
        <f t="shared" ca="1" si="45"/>
        <v>0</v>
      </c>
      <c r="AL306">
        <f t="shared" ca="1" si="46"/>
        <v>3</v>
      </c>
      <c r="AM306">
        <f t="shared" ca="1" si="47"/>
        <v>1</v>
      </c>
      <c r="AN306">
        <f t="shared" ca="1" si="48"/>
        <v>0</v>
      </c>
      <c r="AO306">
        <f t="shared" ca="1" si="49"/>
        <v>0</v>
      </c>
      <c r="AP306">
        <f t="shared" ca="1" si="50"/>
        <v>1</v>
      </c>
      <c r="AQ306">
        <f t="shared" ca="1" si="51"/>
        <v>1</v>
      </c>
      <c r="AR306">
        <f t="shared" ca="1" si="52"/>
        <v>0</v>
      </c>
      <c r="AS306">
        <v>0</v>
      </c>
    </row>
    <row r="307" spans="1:45" x14ac:dyDescent="0.3">
      <c r="A307" s="1">
        <v>562</v>
      </c>
      <c r="C307" t="s">
        <v>508</v>
      </c>
      <c r="D307">
        <v>2020</v>
      </c>
      <c r="E307">
        <v>0</v>
      </c>
      <c r="F307">
        <v>4</v>
      </c>
      <c r="G307" t="s">
        <v>561</v>
      </c>
      <c r="H307" t="s">
        <v>834</v>
      </c>
      <c r="I307" t="s">
        <v>1146</v>
      </c>
      <c r="J307" t="s">
        <v>1389</v>
      </c>
      <c r="K307" t="s">
        <v>1609</v>
      </c>
      <c r="L307" t="s">
        <v>1770</v>
      </c>
      <c r="M307" t="s">
        <v>1916</v>
      </c>
      <c r="N307" t="s">
        <v>1985</v>
      </c>
      <c r="O307" t="s">
        <v>2043</v>
      </c>
      <c r="Z307" s="23" t="s">
        <v>2168</v>
      </c>
      <c r="AA307" s="23" t="s">
        <v>2168</v>
      </c>
      <c r="AB307" s="23" t="s">
        <v>2168</v>
      </c>
      <c r="AC307" s="23" t="s">
        <v>2168</v>
      </c>
      <c r="AI307">
        <f t="shared" si="43"/>
        <v>0</v>
      </c>
      <c r="AJ307">
        <f t="shared" si="44"/>
        <v>4</v>
      </c>
      <c r="AK307">
        <f t="shared" ca="1" si="45"/>
        <v>0</v>
      </c>
      <c r="AL307">
        <f t="shared" ca="1" si="46"/>
        <v>4</v>
      </c>
      <c r="AM307">
        <f t="shared" ca="1" si="47"/>
        <v>0</v>
      </c>
      <c r="AN307">
        <f t="shared" ca="1" si="48"/>
        <v>0</v>
      </c>
      <c r="AO307">
        <f t="shared" ca="1" si="49"/>
        <v>1</v>
      </c>
      <c r="AP307">
        <f t="shared" ca="1" si="50"/>
        <v>0</v>
      </c>
      <c r="AQ307">
        <f t="shared" ca="1" si="51"/>
        <v>0</v>
      </c>
      <c r="AR307">
        <f t="shared" ca="1" si="52"/>
        <v>0</v>
      </c>
      <c r="AS307">
        <v>0</v>
      </c>
    </row>
    <row r="308" spans="1:45" x14ac:dyDescent="0.3">
      <c r="A308" s="1">
        <v>563</v>
      </c>
      <c r="C308" t="s">
        <v>509</v>
      </c>
      <c r="D308">
        <v>2020</v>
      </c>
      <c r="E308">
        <v>0</v>
      </c>
      <c r="F308">
        <v>1</v>
      </c>
      <c r="G308" t="s">
        <v>561</v>
      </c>
      <c r="H308" t="s">
        <v>835</v>
      </c>
      <c r="I308" t="s">
        <v>1147</v>
      </c>
      <c r="Z308" s="22" t="s">
        <v>2167</v>
      </c>
      <c r="AI308">
        <f t="shared" si="43"/>
        <v>0</v>
      </c>
      <c r="AJ308">
        <f t="shared" si="44"/>
        <v>0</v>
      </c>
      <c r="AK308">
        <f t="shared" ca="1" si="45"/>
        <v>0</v>
      </c>
      <c r="AL308">
        <f t="shared" ca="1" si="46"/>
        <v>0</v>
      </c>
      <c r="AM308">
        <f t="shared" ca="1" si="47"/>
        <v>1</v>
      </c>
      <c r="AN308">
        <f t="shared" ca="1" si="48"/>
        <v>0</v>
      </c>
      <c r="AO308">
        <f t="shared" ca="1" si="49"/>
        <v>0</v>
      </c>
      <c r="AP308">
        <f t="shared" ca="1" si="50"/>
        <v>1</v>
      </c>
      <c r="AQ308">
        <f t="shared" ca="1" si="51"/>
        <v>1</v>
      </c>
      <c r="AR308">
        <f t="shared" ca="1" si="52"/>
        <v>0</v>
      </c>
      <c r="AS308">
        <v>0</v>
      </c>
    </row>
    <row r="309" spans="1:45" x14ac:dyDescent="0.3">
      <c r="A309" s="1">
        <v>564</v>
      </c>
      <c r="C309" t="s">
        <v>510</v>
      </c>
      <c r="D309">
        <v>2020</v>
      </c>
      <c r="E309">
        <v>0</v>
      </c>
      <c r="F309">
        <v>3</v>
      </c>
      <c r="G309" t="s">
        <v>561</v>
      </c>
      <c r="H309" t="s">
        <v>836</v>
      </c>
      <c r="I309" t="s">
        <v>1148</v>
      </c>
      <c r="J309" t="s">
        <v>1390</v>
      </c>
      <c r="K309" t="s">
        <v>1610</v>
      </c>
      <c r="L309" t="s">
        <v>1771</v>
      </c>
      <c r="M309" t="s">
        <v>1917</v>
      </c>
      <c r="Z309" s="22" t="s">
        <v>2167</v>
      </c>
      <c r="AA309" s="22" t="s">
        <v>2167</v>
      </c>
      <c r="AB309" s="22" t="s">
        <v>2167</v>
      </c>
      <c r="AI309">
        <f t="shared" si="43"/>
        <v>0</v>
      </c>
      <c r="AJ309">
        <f t="shared" si="44"/>
        <v>0</v>
      </c>
      <c r="AK309">
        <f t="shared" ca="1" si="45"/>
        <v>0</v>
      </c>
      <c r="AL309">
        <f t="shared" ca="1" si="46"/>
        <v>0</v>
      </c>
      <c r="AM309">
        <f t="shared" ca="1" si="47"/>
        <v>3</v>
      </c>
      <c r="AN309">
        <f t="shared" ca="1" si="48"/>
        <v>0</v>
      </c>
      <c r="AO309">
        <f t="shared" ca="1" si="49"/>
        <v>0</v>
      </c>
      <c r="AP309">
        <f t="shared" ca="1" si="50"/>
        <v>1</v>
      </c>
      <c r="AQ309">
        <f t="shared" ca="1" si="51"/>
        <v>1</v>
      </c>
      <c r="AR309">
        <f t="shared" ca="1" si="52"/>
        <v>0</v>
      </c>
      <c r="AS309">
        <v>0</v>
      </c>
    </row>
    <row r="310" spans="1:45" x14ac:dyDescent="0.3">
      <c r="A310" s="1">
        <v>565</v>
      </c>
      <c r="C310" t="s">
        <v>511</v>
      </c>
      <c r="D310">
        <v>2020</v>
      </c>
      <c r="E310">
        <v>0</v>
      </c>
      <c r="F310">
        <v>1</v>
      </c>
      <c r="G310" t="s">
        <v>561</v>
      </c>
      <c r="H310" t="s">
        <v>837</v>
      </c>
      <c r="I310" t="s">
        <v>1149</v>
      </c>
      <c r="Z310" s="22" t="s">
        <v>2167</v>
      </c>
      <c r="AI310">
        <f t="shared" si="43"/>
        <v>0</v>
      </c>
      <c r="AJ310">
        <f t="shared" si="44"/>
        <v>0</v>
      </c>
      <c r="AK310">
        <f t="shared" ca="1" si="45"/>
        <v>0</v>
      </c>
      <c r="AL310">
        <f t="shared" ca="1" si="46"/>
        <v>0</v>
      </c>
      <c r="AM310">
        <f t="shared" ca="1" si="47"/>
        <v>1</v>
      </c>
      <c r="AN310">
        <f t="shared" ca="1" si="48"/>
        <v>0</v>
      </c>
      <c r="AO310">
        <f t="shared" ca="1" si="49"/>
        <v>0</v>
      </c>
      <c r="AP310">
        <f t="shared" ca="1" si="50"/>
        <v>1</v>
      </c>
      <c r="AQ310">
        <f t="shared" ca="1" si="51"/>
        <v>1</v>
      </c>
      <c r="AR310">
        <f t="shared" ca="1" si="52"/>
        <v>0</v>
      </c>
      <c r="AS310">
        <v>0</v>
      </c>
    </row>
    <row r="311" spans="1:45" x14ac:dyDescent="0.3">
      <c r="A311" s="1">
        <v>566</v>
      </c>
      <c r="C311" t="s">
        <v>512</v>
      </c>
      <c r="D311">
        <v>2020</v>
      </c>
      <c r="E311">
        <v>0</v>
      </c>
      <c r="F311">
        <v>1</v>
      </c>
      <c r="G311" t="s">
        <v>561</v>
      </c>
      <c r="H311" t="s">
        <v>838</v>
      </c>
      <c r="I311" t="s">
        <v>1150</v>
      </c>
      <c r="Z311" s="22" t="s">
        <v>2167</v>
      </c>
      <c r="AI311">
        <f t="shared" si="43"/>
        <v>0</v>
      </c>
      <c r="AJ311">
        <f t="shared" si="44"/>
        <v>0</v>
      </c>
      <c r="AK311">
        <f t="shared" ca="1" si="45"/>
        <v>0</v>
      </c>
      <c r="AL311">
        <f t="shared" ca="1" si="46"/>
        <v>0</v>
      </c>
      <c r="AM311">
        <f t="shared" ca="1" si="47"/>
        <v>1</v>
      </c>
      <c r="AN311">
        <f t="shared" ca="1" si="48"/>
        <v>0</v>
      </c>
      <c r="AO311">
        <f t="shared" ca="1" si="49"/>
        <v>0</v>
      </c>
      <c r="AP311">
        <f t="shared" ca="1" si="50"/>
        <v>1</v>
      </c>
      <c r="AQ311">
        <f t="shared" ca="1" si="51"/>
        <v>1</v>
      </c>
      <c r="AR311">
        <f t="shared" ca="1" si="52"/>
        <v>0</v>
      </c>
      <c r="AS311">
        <v>0</v>
      </c>
    </row>
    <row r="312" spans="1:45" x14ac:dyDescent="0.3">
      <c r="A312" s="1">
        <v>567</v>
      </c>
      <c r="C312" t="s">
        <v>513</v>
      </c>
      <c r="D312">
        <v>2020</v>
      </c>
      <c r="E312">
        <v>0</v>
      </c>
      <c r="F312">
        <v>3</v>
      </c>
      <c r="G312" t="s">
        <v>561</v>
      </c>
      <c r="H312" t="s">
        <v>839</v>
      </c>
      <c r="I312" t="s">
        <v>1151</v>
      </c>
      <c r="J312" t="s">
        <v>1391</v>
      </c>
      <c r="K312" t="s">
        <v>1611</v>
      </c>
      <c r="L312" t="s">
        <v>1772</v>
      </c>
      <c r="M312" t="s">
        <v>1918</v>
      </c>
      <c r="Z312" s="22" t="s">
        <v>2167</v>
      </c>
      <c r="AA312" s="22" t="s">
        <v>2167</v>
      </c>
      <c r="AB312" s="22" t="s">
        <v>2167</v>
      </c>
      <c r="AI312">
        <f t="shared" si="43"/>
        <v>0</v>
      </c>
      <c r="AJ312">
        <f t="shared" si="44"/>
        <v>0</v>
      </c>
      <c r="AK312">
        <f t="shared" ca="1" si="45"/>
        <v>0</v>
      </c>
      <c r="AL312">
        <f t="shared" ca="1" si="46"/>
        <v>0</v>
      </c>
      <c r="AM312">
        <f t="shared" ca="1" si="47"/>
        <v>3</v>
      </c>
      <c r="AN312">
        <f t="shared" ca="1" si="48"/>
        <v>0</v>
      </c>
      <c r="AO312">
        <f t="shared" ca="1" si="49"/>
        <v>0</v>
      </c>
      <c r="AP312">
        <f t="shared" ca="1" si="50"/>
        <v>1</v>
      </c>
      <c r="AQ312">
        <f t="shared" ca="1" si="51"/>
        <v>1</v>
      </c>
      <c r="AR312">
        <f t="shared" ca="1" si="52"/>
        <v>0</v>
      </c>
      <c r="AS312">
        <v>0</v>
      </c>
    </row>
    <row r="313" spans="1:45" x14ac:dyDescent="0.3">
      <c r="A313" s="1">
        <v>568</v>
      </c>
      <c r="B313" s="2" t="s">
        <v>196</v>
      </c>
      <c r="C313" t="s">
        <v>514</v>
      </c>
      <c r="D313">
        <v>2020</v>
      </c>
      <c r="E313">
        <v>0</v>
      </c>
      <c r="F313">
        <v>4</v>
      </c>
      <c r="G313" t="s">
        <v>561</v>
      </c>
      <c r="H313" t="s">
        <v>840</v>
      </c>
      <c r="I313" t="s">
        <v>1152</v>
      </c>
      <c r="J313" t="s">
        <v>1392</v>
      </c>
      <c r="K313" t="s">
        <v>1612</v>
      </c>
      <c r="L313" t="s">
        <v>678</v>
      </c>
      <c r="M313" t="s">
        <v>1000</v>
      </c>
      <c r="N313" t="s">
        <v>570</v>
      </c>
      <c r="O313" t="s">
        <v>892</v>
      </c>
      <c r="Z313" s="22" t="s">
        <v>2167</v>
      </c>
      <c r="AA313" s="21" t="s">
        <v>2166</v>
      </c>
      <c r="AB313" s="22" t="s">
        <v>2167</v>
      </c>
      <c r="AC313" s="23" t="s">
        <v>2168</v>
      </c>
      <c r="AI313">
        <f t="shared" si="43"/>
        <v>1</v>
      </c>
      <c r="AJ313">
        <f t="shared" si="44"/>
        <v>1</v>
      </c>
      <c r="AK313">
        <f t="shared" ca="1" si="45"/>
        <v>1</v>
      </c>
      <c r="AL313">
        <f t="shared" ca="1" si="46"/>
        <v>1</v>
      </c>
      <c r="AM313">
        <f t="shared" ca="1" si="47"/>
        <v>2</v>
      </c>
      <c r="AN313">
        <f t="shared" ca="1" si="48"/>
        <v>0</v>
      </c>
      <c r="AO313">
        <f t="shared" ca="1" si="49"/>
        <v>0</v>
      </c>
      <c r="AP313">
        <f t="shared" ca="1" si="50"/>
        <v>1</v>
      </c>
      <c r="AQ313">
        <f t="shared" ca="1" si="51"/>
        <v>1</v>
      </c>
      <c r="AR313">
        <f t="shared" ca="1" si="52"/>
        <v>0.25</v>
      </c>
      <c r="AS313">
        <v>0</v>
      </c>
    </row>
    <row r="314" spans="1:45" x14ac:dyDescent="0.3">
      <c r="A314" s="1">
        <v>569</v>
      </c>
      <c r="C314" t="s">
        <v>515</v>
      </c>
      <c r="D314">
        <v>2020</v>
      </c>
      <c r="E314">
        <v>0</v>
      </c>
      <c r="F314">
        <v>1</v>
      </c>
      <c r="G314" t="s">
        <v>561</v>
      </c>
      <c r="H314" t="s">
        <v>841</v>
      </c>
      <c r="I314" t="s">
        <v>1153</v>
      </c>
      <c r="Z314" s="22" t="s">
        <v>2167</v>
      </c>
      <c r="AI314">
        <f t="shared" si="43"/>
        <v>0</v>
      </c>
      <c r="AJ314">
        <f t="shared" si="44"/>
        <v>0</v>
      </c>
      <c r="AK314">
        <f t="shared" ca="1" si="45"/>
        <v>0</v>
      </c>
      <c r="AL314">
        <f t="shared" ca="1" si="46"/>
        <v>0</v>
      </c>
      <c r="AM314">
        <f t="shared" ca="1" si="47"/>
        <v>1</v>
      </c>
      <c r="AN314">
        <f t="shared" ca="1" si="48"/>
        <v>0</v>
      </c>
      <c r="AO314">
        <f t="shared" ca="1" si="49"/>
        <v>0</v>
      </c>
      <c r="AP314">
        <f t="shared" ca="1" si="50"/>
        <v>1</v>
      </c>
      <c r="AQ314">
        <f t="shared" ca="1" si="51"/>
        <v>1</v>
      </c>
      <c r="AR314">
        <f t="shared" ca="1" si="52"/>
        <v>0</v>
      </c>
      <c r="AS314">
        <v>0</v>
      </c>
    </row>
    <row r="315" spans="1:45" x14ac:dyDescent="0.3">
      <c r="A315" s="1">
        <v>570</v>
      </c>
      <c r="C315" t="s">
        <v>516</v>
      </c>
      <c r="D315">
        <v>2020</v>
      </c>
      <c r="E315">
        <v>0</v>
      </c>
      <c r="F315">
        <v>4</v>
      </c>
      <c r="G315" t="s">
        <v>561</v>
      </c>
      <c r="H315" t="s">
        <v>842</v>
      </c>
      <c r="I315" t="s">
        <v>1154</v>
      </c>
      <c r="J315" t="s">
        <v>1393</v>
      </c>
      <c r="K315" t="s">
        <v>1613</v>
      </c>
      <c r="L315" t="s">
        <v>1773</v>
      </c>
      <c r="M315" t="s">
        <v>1919</v>
      </c>
      <c r="N315" t="s">
        <v>841</v>
      </c>
      <c r="O315" t="s">
        <v>1153</v>
      </c>
      <c r="Z315" s="22" t="s">
        <v>2167</v>
      </c>
      <c r="AA315" s="22" t="s">
        <v>2167</v>
      </c>
      <c r="AB315" s="22" t="s">
        <v>2167</v>
      </c>
      <c r="AC315" s="22" t="s">
        <v>2167</v>
      </c>
      <c r="AI315">
        <f t="shared" si="43"/>
        <v>0</v>
      </c>
      <c r="AJ315">
        <f t="shared" si="44"/>
        <v>0</v>
      </c>
      <c r="AK315">
        <f t="shared" ca="1" si="45"/>
        <v>0</v>
      </c>
      <c r="AL315">
        <f t="shared" ca="1" si="46"/>
        <v>0</v>
      </c>
      <c r="AM315">
        <f t="shared" ca="1" si="47"/>
        <v>4</v>
      </c>
      <c r="AN315">
        <f t="shared" ca="1" si="48"/>
        <v>0</v>
      </c>
      <c r="AO315">
        <f t="shared" ca="1" si="49"/>
        <v>0</v>
      </c>
      <c r="AP315">
        <f t="shared" ca="1" si="50"/>
        <v>1</v>
      </c>
      <c r="AQ315">
        <f t="shared" ca="1" si="51"/>
        <v>1</v>
      </c>
      <c r="AR315">
        <f t="shared" ca="1" si="52"/>
        <v>0</v>
      </c>
      <c r="AS315">
        <v>0</v>
      </c>
    </row>
    <row r="316" spans="1:45" x14ac:dyDescent="0.3">
      <c r="A316" s="1">
        <v>571</v>
      </c>
      <c r="C316" t="s">
        <v>517</v>
      </c>
      <c r="D316">
        <v>2020</v>
      </c>
      <c r="E316">
        <v>0</v>
      </c>
      <c r="F316">
        <v>2</v>
      </c>
      <c r="G316" t="s">
        <v>561</v>
      </c>
      <c r="H316" t="s">
        <v>843</v>
      </c>
      <c r="I316" t="s">
        <v>1155</v>
      </c>
      <c r="J316" t="s">
        <v>1394</v>
      </c>
      <c r="K316" t="s">
        <v>1042</v>
      </c>
      <c r="Z316" s="22" t="s">
        <v>2167</v>
      </c>
      <c r="AA316" s="22" t="s">
        <v>2167</v>
      </c>
      <c r="AI316">
        <f t="shared" si="43"/>
        <v>0</v>
      </c>
      <c r="AJ316">
        <f t="shared" si="44"/>
        <v>0</v>
      </c>
      <c r="AK316">
        <f t="shared" ca="1" si="45"/>
        <v>0</v>
      </c>
      <c r="AL316">
        <f t="shared" ca="1" si="46"/>
        <v>0</v>
      </c>
      <c r="AM316">
        <f t="shared" ca="1" si="47"/>
        <v>2</v>
      </c>
      <c r="AN316">
        <f t="shared" ca="1" si="48"/>
        <v>0</v>
      </c>
      <c r="AO316">
        <f t="shared" ca="1" si="49"/>
        <v>0</v>
      </c>
      <c r="AP316">
        <f t="shared" ca="1" si="50"/>
        <v>1</v>
      </c>
      <c r="AQ316">
        <f t="shared" ca="1" si="51"/>
        <v>1</v>
      </c>
      <c r="AR316">
        <f t="shared" ca="1" si="52"/>
        <v>0</v>
      </c>
      <c r="AS316">
        <v>0</v>
      </c>
    </row>
    <row r="317" spans="1:45" x14ac:dyDescent="0.3">
      <c r="A317" s="1">
        <v>572</v>
      </c>
      <c r="B317" s="2" t="s">
        <v>197</v>
      </c>
      <c r="C317" t="s">
        <v>518</v>
      </c>
      <c r="D317">
        <v>2020</v>
      </c>
      <c r="E317">
        <v>0</v>
      </c>
      <c r="F317">
        <v>1</v>
      </c>
      <c r="G317" t="s">
        <v>561</v>
      </c>
      <c r="H317" t="s">
        <v>844</v>
      </c>
      <c r="I317" t="s">
        <v>1156</v>
      </c>
      <c r="Z317" s="23" t="s">
        <v>2168</v>
      </c>
      <c r="AI317">
        <f t="shared" si="43"/>
        <v>0</v>
      </c>
      <c r="AJ317">
        <f t="shared" si="44"/>
        <v>1</v>
      </c>
      <c r="AK317">
        <f t="shared" ca="1" si="45"/>
        <v>0</v>
      </c>
      <c r="AL317">
        <f t="shared" ca="1" si="46"/>
        <v>1</v>
      </c>
      <c r="AM317">
        <f t="shared" ca="1" si="47"/>
        <v>0</v>
      </c>
      <c r="AN317">
        <f t="shared" ca="1" si="48"/>
        <v>0</v>
      </c>
      <c r="AO317">
        <f t="shared" ca="1" si="49"/>
        <v>1</v>
      </c>
      <c r="AP317">
        <f t="shared" ca="1" si="50"/>
        <v>0</v>
      </c>
      <c r="AQ317">
        <f t="shared" ca="1" si="51"/>
        <v>0</v>
      </c>
      <c r="AR317">
        <f t="shared" ca="1" si="52"/>
        <v>0</v>
      </c>
      <c r="AS317">
        <v>0</v>
      </c>
    </row>
    <row r="318" spans="1:45" x14ac:dyDescent="0.3">
      <c r="A318" s="1">
        <v>573</v>
      </c>
      <c r="C318" t="s">
        <v>519</v>
      </c>
      <c r="D318">
        <v>2020</v>
      </c>
      <c r="E318">
        <v>0</v>
      </c>
      <c r="F318">
        <v>1</v>
      </c>
      <c r="G318" t="s">
        <v>561</v>
      </c>
      <c r="H318" t="s">
        <v>845</v>
      </c>
      <c r="I318" t="s">
        <v>1157</v>
      </c>
      <c r="Z318" s="21" t="s">
        <v>2166</v>
      </c>
      <c r="AI318">
        <f t="shared" si="43"/>
        <v>1</v>
      </c>
      <c r="AJ318">
        <f t="shared" si="44"/>
        <v>0</v>
      </c>
      <c r="AK318">
        <f t="shared" ca="1" si="45"/>
        <v>1</v>
      </c>
      <c r="AL318">
        <f t="shared" ca="1" si="46"/>
        <v>0</v>
      </c>
      <c r="AM318">
        <f t="shared" ca="1" si="47"/>
        <v>0</v>
      </c>
      <c r="AN318">
        <f t="shared" ca="1" si="48"/>
        <v>1</v>
      </c>
      <c r="AO318">
        <f t="shared" ca="1" si="49"/>
        <v>0</v>
      </c>
      <c r="AP318">
        <f t="shared" ca="1" si="50"/>
        <v>0</v>
      </c>
      <c r="AQ318">
        <f t="shared" ca="1" si="51"/>
        <v>0</v>
      </c>
      <c r="AR318">
        <f t="shared" ca="1" si="52"/>
        <v>1</v>
      </c>
      <c r="AS318">
        <v>0</v>
      </c>
    </row>
    <row r="319" spans="1:45" x14ac:dyDescent="0.3">
      <c r="A319" s="1">
        <v>574</v>
      </c>
      <c r="C319" t="s">
        <v>520</v>
      </c>
      <c r="D319">
        <v>2020</v>
      </c>
      <c r="E319">
        <v>0</v>
      </c>
      <c r="F319">
        <v>1</v>
      </c>
      <c r="G319" t="s">
        <v>561</v>
      </c>
      <c r="H319" t="s">
        <v>846</v>
      </c>
      <c r="I319" t="s">
        <v>1158</v>
      </c>
      <c r="Z319" s="22" t="s">
        <v>2167</v>
      </c>
      <c r="AI319">
        <f t="shared" si="43"/>
        <v>0</v>
      </c>
      <c r="AJ319">
        <f t="shared" si="44"/>
        <v>0</v>
      </c>
      <c r="AK319">
        <f t="shared" ca="1" si="45"/>
        <v>0</v>
      </c>
      <c r="AL319">
        <f t="shared" ca="1" si="46"/>
        <v>0</v>
      </c>
      <c r="AM319">
        <f t="shared" ca="1" si="47"/>
        <v>1</v>
      </c>
      <c r="AN319">
        <f t="shared" ca="1" si="48"/>
        <v>0</v>
      </c>
      <c r="AO319">
        <f t="shared" ca="1" si="49"/>
        <v>0</v>
      </c>
      <c r="AP319">
        <f t="shared" ca="1" si="50"/>
        <v>1</v>
      </c>
      <c r="AQ319">
        <f t="shared" ca="1" si="51"/>
        <v>1</v>
      </c>
      <c r="AR319">
        <f t="shared" ca="1" si="52"/>
        <v>0</v>
      </c>
      <c r="AS319">
        <v>0</v>
      </c>
    </row>
    <row r="320" spans="1:45" x14ac:dyDescent="0.3">
      <c r="A320" s="1">
        <v>575</v>
      </c>
      <c r="C320" t="s">
        <v>521</v>
      </c>
      <c r="D320">
        <v>2020</v>
      </c>
      <c r="E320">
        <v>0</v>
      </c>
      <c r="F320">
        <v>2</v>
      </c>
      <c r="G320" t="s">
        <v>561</v>
      </c>
      <c r="H320" t="s">
        <v>847</v>
      </c>
      <c r="I320" t="s">
        <v>1159</v>
      </c>
      <c r="J320" t="s">
        <v>1395</v>
      </c>
      <c r="K320" t="s">
        <v>1614</v>
      </c>
      <c r="Z320" s="21" t="s">
        <v>2166</v>
      </c>
      <c r="AA320" s="22" t="s">
        <v>2167</v>
      </c>
      <c r="AI320">
        <f t="shared" si="43"/>
        <v>1</v>
      </c>
      <c r="AJ320">
        <f t="shared" si="44"/>
        <v>0</v>
      </c>
      <c r="AK320">
        <f t="shared" ca="1" si="45"/>
        <v>1</v>
      </c>
      <c r="AL320">
        <f t="shared" ca="1" si="46"/>
        <v>0</v>
      </c>
      <c r="AM320">
        <f t="shared" ca="1" si="47"/>
        <v>1</v>
      </c>
      <c r="AN320">
        <f t="shared" ca="1" si="48"/>
        <v>0</v>
      </c>
      <c r="AO320">
        <f t="shared" ca="1" si="49"/>
        <v>0</v>
      </c>
      <c r="AP320">
        <f t="shared" ca="1" si="50"/>
        <v>1</v>
      </c>
      <c r="AQ320">
        <f t="shared" ca="1" si="51"/>
        <v>1</v>
      </c>
      <c r="AR320">
        <f t="shared" ca="1" si="52"/>
        <v>0.5</v>
      </c>
      <c r="AS320">
        <v>0</v>
      </c>
    </row>
    <row r="321" spans="1:45" x14ac:dyDescent="0.3">
      <c r="A321" s="1">
        <v>576</v>
      </c>
      <c r="C321" t="s">
        <v>522</v>
      </c>
      <c r="D321">
        <v>2020</v>
      </c>
      <c r="E321">
        <v>0</v>
      </c>
      <c r="F321">
        <v>2</v>
      </c>
      <c r="G321" t="s">
        <v>561</v>
      </c>
      <c r="H321" t="s">
        <v>848</v>
      </c>
      <c r="I321" t="s">
        <v>1160</v>
      </c>
      <c r="J321" t="s">
        <v>1396</v>
      </c>
      <c r="K321" t="s">
        <v>1615</v>
      </c>
      <c r="Z321" s="21" t="s">
        <v>2166</v>
      </c>
      <c r="AA321" s="23" t="s">
        <v>2168</v>
      </c>
      <c r="AI321">
        <f t="shared" si="43"/>
        <v>1</v>
      </c>
      <c r="AJ321">
        <f t="shared" si="44"/>
        <v>1</v>
      </c>
      <c r="AK321">
        <f t="shared" ca="1" si="45"/>
        <v>1</v>
      </c>
      <c r="AL321">
        <f t="shared" ca="1" si="46"/>
        <v>1</v>
      </c>
      <c r="AM321">
        <f t="shared" ca="1" si="47"/>
        <v>0</v>
      </c>
      <c r="AN321">
        <f t="shared" ca="1" si="48"/>
        <v>0</v>
      </c>
      <c r="AO321">
        <f t="shared" ca="1" si="49"/>
        <v>0</v>
      </c>
      <c r="AP321">
        <f t="shared" ca="1" si="50"/>
        <v>0</v>
      </c>
      <c r="AQ321">
        <f t="shared" ca="1" si="51"/>
        <v>1</v>
      </c>
      <c r="AR321">
        <f t="shared" ca="1" si="52"/>
        <v>0.5</v>
      </c>
      <c r="AS321">
        <v>0</v>
      </c>
    </row>
    <row r="322" spans="1:45" x14ac:dyDescent="0.3">
      <c r="A322" s="1">
        <v>577</v>
      </c>
      <c r="C322" t="s">
        <v>523</v>
      </c>
      <c r="D322">
        <v>2020</v>
      </c>
      <c r="E322">
        <v>0</v>
      </c>
      <c r="F322">
        <v>1</v>
      </c>
      <c r="G322" t="s">
        <v>561</v>
      </c>
      <c r="H322" t="s">
        <v>845</v>
      </c>
      <c r="I322" t="s">
        <v>1157</v>
      </c>
      <c r="Z322" s="21" t="s">
        <v>2166</v>
      </c>
      <c r="AI322">
        <f t="shared" si="43"/>
        <v>1</v>
      </c>
      <c r="AJ322">
        <f t="shared" si="44"/>
        <v>0</v>
      </c>
      <c r="AK322">
        <f t="shared" ca="1" si="45"/>
        <v>1</v>
      </c>
      <c r="AL322">
        <f t="shared" ca="1" si="46"/>
        <v>0</v>
      </c>
      <c r="AM322">
        <f t="shared" ca="1" si="47"/>
        <v>0</v>
      </c>
      <c r="AN322">
        <f t="shared" ca="1" si="48"/>
        <v>1</v>
      </c>
      <c r="AO322">
        <f t="shared" ca="1" si="49"/>
        <v>0</v>
      </c>
      <c r="AP322">
        <f t="shared" ca="1" si="50"/>
        <v>0</v>
      </c>
      <c r="AQ322">
        <f t="shared" ca="1" si="51"/>
        <v>0</v>
      </c>
      <c r="AR322">
        <f t="shared" ca="1" si="52"/>
        <v>1</v>
      </c>
      <c r="AS322">
        <v>0</v>
      </c>
    </row>
    <row r="323" spans="1:45" x14ac:dyDescent="0.3">
      <c r="A323" s="1">
        <v>578</v>
      </c>
      <c r="C323" t="s">
        <v>524</v>
      </c>
      <c r="D323">
        <v>2020</v>
      </c>
      <c r="E323">
        <v>0</v>
      </c>
      <c r="F323">
        <v>1</v>
      </c>
      <c r="G323" t="s">
        <v>561</v>
      </c>
      <c r="H323" t="s">
        <v>770</v>
      </c>
      <c r="I323" t="s">
        <v>1088</v>
      </c>
      <c r="Z323" s="23" t="s">
        <v>2168</v>
      </c>
      <c r="AI323">
        <f t="shared" ref="AI323:AI363" si="53">COUNTIF(Z323:AH323,"f")</f>
        <v>0</v>
      </c>
      <c r="AJ323">
        <f t="shared" ref="AJ323:AJ363" si="54">COUNTIF(Z323:AI323,"m")</f>
        <v>1</v>
      </c>
      <c r="AK323">
        <f t="shared" ref="AK323:AK362" ca="1" si="55">CountCellsByColor(Z323:AH323,$Z$2)</f>
        <v>0</v>
      </c>
      <c r="AL323">
        <f t="shared" ref="AL323:AL363" ca="1" si="56">CountCellsByColor(Z323:AH323,$Z$4)</f>
        <v>1</v>
      </c>
      <c r="AM323">
        <f t="shared" ref="AM323:AM363" ca="1" si="57">CountCellsByColor(Z323:AH323,$Z$3)</f>
        <v>0</v>
      </c>
      <c r="AN323">
        <f t="shared" ref="AN323:AN363" ca="1" si="58">IF(AK323=F323,1,0)</f>
        <v>0</v>
      </c>
      <c r="AO323">
        <f t="shared" ref="AO323:AO363" ca="1" si="59">IF(AL323=F323,1,0)</f>
        <v>1</v>
      </c>
      <c r="AP323">
        <f t="shared" ref="AP323:AP363" ca="1" si="60">IF(AM323&gt;=1,1,0)</f>
        <v>0</v>
      </c>
      <c r="AQ323">
        <f t="shared" ref="AQ323:AQ363" ca="1" si="61">IF(AND(AN323=0, AO323=0),1,0)</f>
        <v>0</v>
      </c>
      <c r="AR323">
        <f t="shared" ref="AR323:AR363" ca="1" si="62">IF(AK323=1, 1/F323, IF(AK323 = 2, (1/F323)*(2/F323), IF(AK323 = 3, (1/F323)*(2/F323)*(3/F323), IF(AK323 = 4, (1/F323)*(2/F323)*(3/F323)*(4/F323),IF(AK323 = 5, (1/F323)*(2/F323)*(3/F323)*(4/F323)*(5/F323),IF(AK323 = 6, (1/F323)*(2/F323)*(3/F323)*(4/F323)*(5/F323)*(6/F323), 0))))))</f>
        <v>0</v>
      </c>
      <c r="AS323">
        <v>0</v>
      </c>
    </row>
    <row r="324" spans="1:45" x14ac:dyDescent="0.3">
      <c r="A324" s="1">
        <v>579</v>
      </c>
      <c r="C324" t="s">
        <v>525</v>
      </c>
      <c r="D324">
        <v>2020</v>
      </c>
      <c r="E324">
        <v>0</v>
      </c>
      <c r="F324">
        <v>3</v>
      </c>
      <c r="G324" t="s">
        <v>561</v>
      </c>
      <c r="H324" t="s">
        <v>849</v>
      </c>
      <c r="I324" t="s">
        <v>1161</v>
      </c>
      <c r="J324" t="s">
        <v>1397</v>
      </c>
      <c r="K324" t="s">
        <v>1616</v>
      </c>
      <c r="L324" t="s">
        <v>1774</v>
      </c>
      <c r="M324" t="s">
        <v>1920</v>
      </c>
      <c r="Z324" s="22" t="s">
        <v>2167</v>
      </c>
      <c r="AA324" s="22" t="s">
        <v>2167</v>
      </c>
      <c r="AB324" s="22" t="s">
        <v>2167</v>
      </c>
      <c r="AI324">
        <f t="shared" si="53"/>
        <v>0</v>
      </c>
      <c r="AJ324">
        <f t="shared" si="54"/>
        <v>0</v>
      </c>
      <c r="AK324">
        <f t="shared" ca="1" si="55"/>
        <v>0</v>
      </c>
      <c r="AL324">
        <f t="shared" ca="1" si="56"/>
        <v>0</v>
      </c>
      <c r="AM324">
        <f t="shared" ca="1" si="57"/>
        <v>3</v>
      </c>
      <c r="AN324">
        <f t="shared" ca="1" si="58"/>
        <v>0</v>
      </c>
      <c r="AO324">
        <f t="shared" ca="1" si="59"/>
        <v>0</v>
      </c>
      <c r="AP324">
        <f t="shared" ca="1" si="60"/>
        <v>1</v>
      </c>
      <c r="AQ324">
        <f t="shared" ca="1" si="61"/>
        <v>1</v>
      </c>
      <c r="AR324">
        <f t="shared" ca="1" si="62"/>
        <v>0</v>
      </c>
      <c r="AS324">
        <v>0</v>
      </c>
    </row>
    <row r="325" spans="1:45" x14ac:dyDescent="0.3">
      <c r="A325" s="1">
        <v>580</v>
      </c>
      <c r="C325" t="s">
        <v>526</v>
      </c>
      <c r="D325">
        <v>2020</v>
      </c>
      <c r="E325">
        <v>0</v>
      </c>
      <c r="F325">
        <v>1</v>
      </c>
      <c r="G325" t="s">
        <v>561</v>
      </c>
      <c r="H325" t="s">
        <v>850</v>
      </c>
      <c r="I325" t="s">
        <v>1162</v>
      </c>
      <c r="Z325" s="22" t="s">
        <v>2167</v>
      </c>
      <c r="AI325">
        <f t="shared" si="53"/>
        <v>0</v>
      </c>
      <c r="AJ325">
        <f t="shared" si="54"/>
        <v>0</v>
      </c>
      <c r="AK325">
        <f t="shared" ca="1" si="55"/>
        <v>0</v>
      </c>
      <c r="AL325">
        <f t="shared" ca="1" si="56"/>
        <v>0</v>
      </c>
      <c r="AM325">
        <f t="shared" ca="1" si="57"/>
        <v>1</v>
      </c>
      <c r="AN325">
        <f t="shared" ca="1" si="58"/>
        <v>0</v>
      </c>
      <c r="AO325">
        <f t="shared" ca="1" si="59"/>
        <v>0</v>
      </c>
      <c r="AP325">
        <f t="shared" ca="1" si="60"/>
        <v>1</v>
      </c>
      <c r="AQ325">
        <f t="shared" ca="1" si="61"/>
        <v>1</v>
      </c>
      <c r="AR325">
        <f t="shared" ca="1" si="62"/>
        <v>0</v>
      </c>
      <c r="AS325">
        <v>0</v>
      </c>
    </row>
    <row r="326" spans="1:45" x14ac:dyDescent="0.3">
      <c r="A326" s="1">
        <v>581</v>
      </c>
      <c r="C326" t="s">
        <v>527</v>
      </c>
      <c r="D326">
        <v>2021</v>
      </c>
      <c r="E326">
        <v>0</v>
      </c>
      <c r="F326">
        <v>9</v>
      </c>
      <c r="G326" t="s">
        <v>561</v>
      </c>
      <c r="H326" t="s">
        <v>851</v>
      </c>
      <c r="I326" t="s">
        <v>1163</v>
      </c>
      <c r="J326" t="s">
        <v>1398</v>
      </c>
      <c r="K326" t="s">
        <v>1617</v>
      </c>
      <c r="L326" t="s">
        <v>1775</v>
      </c>
      <c r="M326" t="s">
        <v>1921</v>
      </c>
      <c r="N326" t="s">
        <v>1986</v>
      </c>
      <c r="O326" t="s">
        <v>2044</v>
      </c>
      <c r="P326" t="s">
        <v>2076</v>
      </c>
      <c r="Q326" t="s">
        <v>2100</v>
      </c>
      <c r="R326" t="s">
        <v>2118</v>
      </c>
      <c r="S326" t="s">
        <v>2132</v>
      </c>
      <c r="T326" t="s">
        <v>2141</v>
      </c>
      <c r="U326" t="s">
        <v>2148</v>
      </c>
      <c r="V326" t="s">
        <v>2153</v>
      </c>
      <c r="W326" t="s">
        <v>2157</v>
      </c>
      <c r="X326" t="s">
        <v>2161</v>
      </c>
      <c r="Y326" t="s">
        <v>2165</v>
      </c>
      <c r="Z326" s="23" t="s">
        <v>2168</v>
      </c>
      <c r="AA326" s="22" t="s">
        <v>2167</v>
      </c>
      <c r="AB326" s="22" t="s">
        <v>2167</v>
      </c>
      <c r="AC326" s="22" t="s">
        <v>2167</v>
      </c>
      <c r="AD326" s="22" t="s">
        <v>2167</v>
      </c>
      <c r="AE326" s="22" t="s">
        <v>2167</v>
      </c>
      <c r="AF326" s="22" t="s">
        <v>2167</v>
      </c>
      <c r="AG326" s="21" t="s">
        <v>2166</v>
      </c>
      <c r="AH326" s="22" t="s">
        <v>2167</v>
      </c>
      <c r="AI326">
        <f t="shared" si="53"/>
        <v>1</v>
      </c>
      <c r="AJ326">
        <f t="shared" si="54"/>
        <v>1</v>
      </c>
      <c r="AK326">
        <f t="shared" ca="1" si="55"/>
        <v>1</v>
      </c>
      <c r="AL326">
        <f t="shared" ca="1" si="56"/>
        <v>1</v>
      </c>
      <c r="AM326">
        <f t="shared" ca="1" si="57"/>
        <v>7</v>
      </c>
      <c r="AN326">
        <f t="shared" ca="1" si="58"/>
        <v>0</v>
      </c>
      <c r="AO326">
        <f t="shared" ca="1" si="59"/>
        <v>0</v>
      </c>
      <c r="AP326">
        <f t="shared" ca="1" si="60"/>
        <v>1</v>
      </c>
      <c r="AQ326">
        <f t="shared" ca="1" si="61"/>
        <v>1</v>
      </c>
      <c r="AR326">
        <f t="shared" ca="1" si="62"/>
        <v>0.1111111111111111</v>
      </c>
      <c r="AS326">
        <v>0</v>
      </c>
    </row>
    <row r="327" spans="1:45" x14ac:dyDescent="0.3">
      <c r="A327" s="1">
        <v>582</v>
      </c>
      <c r="C327" t="s">
        <v>528</v>
      </c>
      <c r="D327">
        <v>2020</v>
      </c>
      <c r="E327">
        <v>0</v>
      </c>
      <c r="F327">
        <v>2</v>
      </c>
      <c r="G327" t="s">
        <v>561</v>
      </c>
      <c r="H327" t="s">
        <v>852</v>
      </c>
      <c r="I327" t="s">
        <v>1164</v>
      </c>
      <c r="J327" t="s">
        <v>1399</v>
      </c>
      <c r="K327" t="s">
        <v>1618</v>
      </c>
      <c r="Z327" s="23" t="s">
        <v>2168</v>
      </c>
      <c r="AA327" s="23" t="s">
        <v>2168</v>
      </c>
      <c r="AI327">
        <f t="shared" si="53"/>
        <v>0</v>
      </c>
      <c r="AJ327">
        <f t="shared" si="54"/>
        <v>2</v>
      </c>
      <c r="AK327">
        <f t="shared" ca="1" si="55"/>
        <v>0</v>
      </c>
      <c r="AL327">
        <f t="shared" ca="1" si="56"/>
        <v>2</v>
      </c>
      <c r="AM327">
        <f t="shared" ca="1" si="57"/>
        <v>0</v>
      </c>
      <c r="AN327">
        <f t="shared" ca="1" si="58"/>
        <v>0</v>
      </c>
      <c r="AO327">
        <f t="shared" ca="1" si="59"/>
        <v>1</v>
      </c>
      <c r="AP327">
        <f t="shared" ca="1" si="60"/>
        <v>0</v>
      </c>
      <c r="AQ327">
        <f t="shared" ca="1" si="61"/>
        <v>0</v>
      </c>
      <c r="AR327">
        <f t="shared" ca="1" si="62"/>
        <v>0</v>
      </c>
      <c r="AS327">
        <v>0</v>
      </c>
    </row>
    <row r="328" spans="1:45" x14ac:dyDescent="0.3">
      <c r="A328" s="1">
        <v>584</v>
      </c>
      <c r="C328" t="s">
        <v>529</v>
      </c>
      <c r="D328">
        <v>2020</v>
      </c>
      <c r="E328">
        <v>0</v>
      </c>
      <c r="F328">
        <v>1</v>
      </c>
      <c r="G328" t="s">
        <v>561</v>
      </c>
      <c r="H328" t="s">
        <v>853</v>
      </c>
      <c r="I328" t="s">
        <v>1165</v>
      </c>
      <c r="Z328" s="22" t="s">
        <v>2167</v>
      </c>
      <c r="AI328">
        <f t="shared" si="53"/>
        <v>0</v>
      </c>
      <c r="AJ328">
        <f t="shared" si="54"/>
        <v>0</v>
      </c>
      <c r="AK328">
        <f t="shared" ca="1" si="55"/>
        <v>0</v>
      </c>
      <c r="AL328">
        <f t="shared" ca="1" si="56"/>
        <v>0</v>
      </c>
      <c r="AM328">
        <f t="shared" ca="1" si="57"/>
        <v>1</v>
      </c>
      <c r="AN328">
        <f t="shared" ca="1" si="58"/>
        <v>0</v>
      </c>
      <c r="AO328">
        <f t="shared" ca="1" si="59"/>
        <v>0</v>
      </c>
      <c r="AP328">
        <f t="shared" ca="1" si="60"/>
        <v>1</v>
      </c>
      <c r="AQ328">
        <f t="shared" ca="1" si="61"/>
        <v>1</v>
      </c>
      <c r="AR328">
        <f t="shared" ca="1" si="62"/>
        <v>0</v>
      </c>
      <c r="AS328">
        <v>0</v>
      </c>
    </row>
    <row r="329" spans="1:45" x14ac:dyDescent="0.3">
      <c r="A329" s="1">
        <v>585</v>
      </c>
      <c r="C329" t="s">
        <v>530</v>
      </c>
      <c r="D329">
        <v>2020</v>
      </c>
      <c r="E329">
        <v>0</v>
      </c>
      <c r="F329">
        <v>7</v>
      </c>
      <c r="G329" t="s">
        <v>561</v>
      </c>
      <c r="H329" t="s">
        <v>854</v>
      </c>
      <c r="I329" t="s">
        <v>1166</v>
      </c>
      <c r="J329" t="s">
        <v>1400</v>
      </c>
      <c r="K329" t="s">
        <v>1619</v>
      </c>
      <c r="L329" t="s">
        <v>1776</v>
      </c>
      <c r="M329" t="s">
        <v>1922</v>
      </c>
      <c r="N329" t="s">
        <v>1987</v>
      </c>
      <c r="O329" t="s">
        <v>2045</v>
      </c>
      <c r="P329" t="s">
        <v>2077</v>
      </c>
      <c r="Q329" t="s">
        <v>2101</v>
      </c>
      <c r="R329" t="s">
        <v>2119</v>
      </c>
      <c r="S329" t="s">
        <v>2133</v>
      </c>
      <c r="T329" t="s">
        <v>2142</v>
      </c>
      <c r="U329" t="s">
        <v>2149</v>
      </c>
      <c r="Z329" s="21" t="s">
        <v>2166</v>
      </c>
      <c r="AA329" s="21" t="s">
        <v>2166</v>
      </c>
      <c r="AB329" s="22" t="s">
        <v>2167</v>
      </c>
      <c r="AC329" s="22" t="s">
        <v>2167</v>
      </c>
      <c r="AD329" s="22" t="s">
        <v>2167</v>
      </c>
      <c r="AE329" s="22" t="s">
        <v>2167</v>
      </c>
      <c r="AF329" s="21" t="s">
        <v>2166</v>
      </c>
      <c r="AI329">
        <f t="shared" si="53"/>
        <v>3</v>
      </c>
      <c r="AJ329">
        <f t="shared" si="54"/>
        <v>0</v>
      </c>
      <c r="AK329">
        <f t="shared" ca="1" si="55"/>
        <v>3</v>
      </c>
      <c r="AL329">
        <f t="shared" ca="1" si="56"/>
        <v>0</v>
      </c>
      <c r="AM329">
        <f t="shared" ca="1" si="57"/>
        <v>4</v>
      </c>
      <c r="AN329">
        <f t="shared" ca="1" si="58"/>
        <v>0</v>
      </c>
      <c r="AO329">
        <f t="shared" ca="1" si="59"/>
        <v>0</v>
      </c>
      <c r="AP329">
        <f t="shared" ca="1" si="60"/>
        <v>1</v>
      </c>
      <c r="AQ329">
        <f t="shared" ca="1" si="61"/>
        <v>1</v>
      </c>
      <c r="AR329">
        <f t="shared" ca="1" si="62"/>
        <v>1.7492711370262388E-2</v>
      </c>
      <c r="AS329">
        <v>0</v>
      </c>
    </row>
    <row r="330" spans="1:45" x14ac:dyDescent="0.3">
      <c r="A330" s="1">
        <v>588</v>
      </c>
      <c r="B330" s="2" t="s">
        <v>198</v>
      </c>
      <c r="C330" t="s">
        <v>531</v>
      </c>
      <c r="D330">
        <v>2021</v>
      </c>
      <c r="E330">
        <v>0</v>
      </c>
      <c r="F330">
        <v>2</v>
      </c>
      <c r="G330" t="s">
        <v>561</v>
      </c>
      <c r="H330" t="s">
        <v>855</v>
      </c>
      <c r="I330" t="s">
        <v>1167</v>
      </c>
      <c r="J330" t="s">
        <v>1401</v>
      </c>
      <c r="K330" t="s">
        <v>1620</v>
      </c>
      <c r="Z330" s="21" t="s">
        <v>2166</v>
      </c>
      <c r="AA330" s="23" t="s">
        <v>2168</v>
      </c>
      <c r="AI330">
        <f t="shared" si="53"/>
        <v>1</v>
      </c>
      <c r="AJ330">
        <f t="shared" si="54"/>
        <v>1</v>
      </c>
      <c r="AK330">
        <f t="shared" ca="1" si="55"/>
        <v>1</v>
      </c>
      <c r="AL330">
        <f t="shared" ca="1" si="56"/>
        <v>1</v>
      </c>
      <c r="AM330">
        <f t="shared" ca="1" si="57"/>
        <v>0</v>
      </c>
      <c r="AN330">
        <f t="shared" ca="1" si="58"/>
        <v>0</v>
      </c>
      <c r="AO330">
        <f t="shared" ca="1" si="59"/>
        <v>0</v>
      </c>
      <c r="AP330">
        <f t="shared" ca="1" si="60"/>
        <v>0</v>
      </c>
      <c r="AQ330">
        <f t="shared" ca="1" si="61"/>
        <v>1</v>
      </c>
      <c r="AR330">
        <f t="shared" ca="1" si="62"/>
        <v>0.5</v>
      </c>
      <c r="AS330">
        <v>0</v>
      </c>
    </row>
    <row r="331" spans="1:45" x14ac:dyDescent="0.3">
      <c r="A331" s="1">
        <v>589</v>
      </c>
      <c r="C331" t="s">
        <v>532</v>
      </c>
      <c r="D331">
        <v>2021</v>
      </c>
      <c r="E331">
        <v>0</v>
      </c>
      <c r="F331">
        <v>2</v>
      </c>
      <c r="G331" t="s">
        <v>561</v>
      </c>
      <c r="H331" t="s">
        <v>856</v>
      </c>
      <c r="I331" t="s">
        <v>1168</v>
      </c>
      <c r="J331" t="s">
        <v>1402</v>
      </c>
      <c r="K331" t="s">
        <v>1621</v>
      </c>
      <c r="Z331" s="22" t="s">
        <v>2167</v>
      </c>
      <c r="AA331" s="22" t="s">
        <v>2167</v>
      </c>
      <c r="AI331">
        <f t="shared" si="53"/>
        <v>0</v>
      </c>
      <c r="AJ331">
        <f t="shared" si="54"/>
        <v>0</v>
      </c>
      <c r="AK331">
        <f t="shared" ca="1" si="55"/>
        <v>0</v>
      </c>
      <c r="AL331">
        <f t="shared" ca="1" si="56"/>
        <v>0</v>
      </c>
      <c r="AM331">
        <f t="shared" ca="1" si="57"/>
        <v>2</v>
      </c>
      <c r="AN331">
        <f t="shared" ca="1" si="58"/>
        <v>0</v>
      </c>
      <c r="AO331">
        <f t="shared" ca="1" si="59"/>
        <v>0</v>
      </c>
      <c r="AP331">
        <f t="shared" ca="1" si="60"/>
        <v>1</v>
      </c>
      <c r="AQ331">
        <f t="shared" ca="1" si="61"/>
        <v>1</v>
      </c>
      <c r="AR331">
        <f t="shared" ca="1" si="62"/>
        <v>0</v>
      </c>
      <c r="AS331">
        <v>0</v>
      </c>
    </row>
    <row r="332" spans="1:45" x14ac:dyDescent="0.3">
      <c r="A332" s="1">
        <v>590</v>
      </c>
      <c r="C332" t="s">
        <v>533</v>
      </c>
      <c r="D332">
        <v>2021</v>
      </c>
      <c r="E332">
        <v>0</v>
      </c>
      <c r="F332">
        <v>4</v>
      </c>
      <c r="G332" t="s">
        <v>561</v>
      </c>
      <c r="H332" t="s">
        <v>857</v>
      </c>
      <c r="I332" t="s">
        <v>955</v>
      </c>
      <c r="J332" t="s">
        <v>1403</v>
      </c>
      <c r="K332" t="s">
        <v>1622</v>
      </c>
      <c r="L332" t="s">
        <v>1777</v>
      </c>
      <c r="M332" t="s">
        <v>1923</v>
      </c>
      <c r="N332" t="s">
        <v>1769</v>
      </c>
      <c r="O332" t="s">
        <v>1915</v>
      </c>
      <c r="Z332" s="21" t="s">
        <v>2166</v>
      </c>
      <c r="AA332" s="22" t="s">
        <v>2167</v>
      </c>
      <c r="AB332" s="23" t="s">
        <v>2168</v>
      </c>
      <c r="AC332" s="23" t="s">
        <v>2168</v>
      </c>
      <c r="AI332">
        <f t="shared" si="53"/>
        <v>1</v>
      </c>
      <c r="AJ332">
        <f t="shared" si="54"/>
        <v>2</v>
      </c>
      <c r="AK332">
        <f t="shared" ca="1" si="55"/>
        <v>1</v>
      </c>
      <c r="AL332">
        <f t="shared" ca="1" si="56"/>
        <v>2</v>
      </c>
      <c r="AM332">
        <f t="shared" ca="1" si="57"/>
        <v>1</v>
      </c>
      <c r="AN332">
        <f t="shared" ca="1" si="58"/>
        <v>0</v>
      </c>
      <c r="AO332">
        <f t="shared" ca="1" si="59"/>
        <v>0</v>
      </c>
      <c r="AP332">
        <f t="shared" ca="1" si="60"/>
        <v>1</v>
      </c>
      <c r="AQ332">
        <f t="shared" ca="1" si="61"/>
        <v>1</v>
      </c>
      <c r="AR332">
        <f t="shared" ca="1" si="62"/>
        <v>0.25</v>
      </c>
      <c r="AS332">
        <v>0</v>
      </c>
    </row>
    <row r="333" spans="1:45" x14ac:dyDescent="0.3">
      <c r="A333" s="1">
        <v>591</v>
      </c>
      <c r="C333" t="s">
        <v>534</v>
      </c>
      <c r="D333">
        <v>2021</v>
      </c>
      <c r="E333">
        <v>0</v>
      </c>
      <c r="F333">
        <v>2</v>
      </c>
      <c r="G333" t="s">
        <v>561</v>
      </c>
      <c r="H333" t="s">
        <v>858</v>
      </c>
      <c r="I333" t="s">
        <v>1169</v>
      </c>
      <c r="J333" t="s">
        <v>1404</v>
      </c>
      <c r="K333" t="s">
        <v>1623</v>
      </c>
      <c r="Z333" s="22" t="s">
        <v>2167</v>
      </c>
      <c r="AA333" s="22" t="s">
        <v>2167</v>
      </c>
      <c r="AI333">
        <f t="shared" si="53"/>
        <v>0</v>
      </c>
      <c r="AJ333">
        <f t="shared" si="54"/>
        <v>0</v>
      </c>
      <c r="AK333">
        <f t="shared" ca="1" si="55"/>
        <v>0</v>
      </c>
      <c r="AL333">
        <f t="shared" ca="1" si="56"/>
        <v>0</v>
      </c>
      <c r="AM333">
        <f t="shared" ca="1" si="57"/>
        <v>2</v>
      </c>
      <c r="AN333">
        <f t="shared" ca="1" si="58"/>
        <v>0</v>
      </c>
      <c r="AO333">
        <f t="shared" ca="1" si="59"/>
        <v>0</v>
      </c>
      <c r="AP333">
        <f t="shared" ca="1" si="60"/>
        <v>1</v>
      </c>
      <c r="AQ333">
        <f t="shared" ca="1" si="61"/>
        <v>1</v>
      </c>
      <c r="AR333">
        <f t="shared" ca="1" si="62"/>
        <v>0</v>
      </c>
      <c r="AS333">
        <v>0</v>
      </c>
    </row>
    <row r="334" spans="1:45" x14ac:dyDescent="0.3">
      <c r="A334" s="1">
        <v>592</v>
      </c>
      <c r="C334" t="s">
        <v>535</v>
      </c>
      <c r="D334">
        <v>2021</v>
      </c>
      <c r="E334">
        <v>0</v>
      </c>
      <c r="F334">
        <v>2</v>
      </c>
      <c r="G334" t="s">
        <v>561</v>
      </c>
      <c r="H334" t="s">
        <v>859</v>
      </c>
      <c r="I334" t="s">
        <v>1170</v>
      </c>
      <c r="J334" t="s">
        <v>1405</v>
      </c>
      <c r="K334" t="s">
        <v>1620</v>
      </c>
      <c r="Z334" s="21" t="s">
        <v>2166</v>
      </c>
      <c r="AA334" s="23" t="s">
        <v>2168</v>
      </c>
      <c r="AI334">
        <f t="shared" si="53"/>
        <v>1</v>
      </c>
      <c r="AJ334">
        <f t="shared" si="54"/>
        <v>1</v>
      </c>
      <c r="AK334">
        <f t="shared" ca="1" si="55"/>
        <v>1</v>
      </c>
      <c r="AL334">
        <f t="shared" ca="1" si="56"/>
        <v>1</v>
      </c>
      <c r="AM334">
        <f t="shared" ca="1" si="57"/>
        <v>0</v>
      </c>
      <c r="AN334">
        <f t="shared" ca="1" si="58"/>
        <v>0</v>
      </c>
      <c r="AO334">
        <f t="shared" ca="1" si="59"/>
        <v>0</v>
      </c>
      <c r="AP334">
        <f t="shared" ca="1" si="60"/>
        <v>0</v>
      </c>
      <c r="AQ334">
        <f t="shared" ca="1" si="61"/>
        <v>1</v>
      </c>
      <c r="AR334">
        <f t="shared" ca="1" si="62"/>
        <v>0.5</v>
      </c>
      <c r="AS334">
        <v>0</v>
      </c>
    </row>
    <row r="335" spans="1:45" x14ac:dyDescent="0.3">
      <c r="A335" s="1">
        <v>593</v>
      </c>
      <c r="C335" t="s">
        <v>536</v>
      </c>
      <c r="D335">
        <v>2021</v>
      </c>
      <c r="E335">
        <v>0</v>
      </c>
      <c r="F335">
        <v>4</v>
      </c>
      <c r="G335" t="s">
        <v>561</v>
      </c>
      <c r="H335" t="s">
        <v>753</v>
      </c>
      <c r="I335" t="s">
        <v>1071</v>
      </c>
      <c r="J335" t="s">
        <v>739</v>
      </c>
      <c r="K335" t="s">
        <v>1032</v>
      </c>
      <c r="L335" t="s">
        <v>1302</v>
      </c>
      <c r="M335" t="s">
        <v>1527</v>
      </c>
      <c r="N335" t="s">
        <v>1988</v>
      </c>
      <c r="O335" t="s">
        <v>1904</v>
      </c>
      <c r="Z335" s="22" t="s">
        <v>2167</v>
      </c>
      <c r="AA335" s="21" t="s">
        <v>2166</v>
      </c>
      <c r="AB335" s="23" t="s">
        <v>2168</v>
      </c>
      <c r="AC335" s="22" t="s">
        <v>2167</v>
      </c>
      <c r="AI335">
        <f t="shared" si="53"/>
        <v>1</v>
      </c>
      <c r="AJ335">
        <f t="shared" si="54"/>
        <v>1</v>
      </c>
      <c r="AK335">
        <f t="shared" ca="1" si="55"/>
        <v>1</v>
      </c>
      <c r="AL335">
        <f t="shared" ca="1" si="56"/>
        <v>1</v>
      </c>
      <c r="AM335">
        <f t="shared" ca="1" si="57"/>
        <v>2</v>
      </c>
      <c r="AN335">
        <f t="shared" ca="1" si="58"/>
        <v>0</v>
      </c>
      <c r="AO335">
        <f t="shared" ca="1" si="59"/>
        <v>0</v>
      </c>
      <c r="AP335">
        <f t="shared" ca="1" si="60"/>
        <v>1</v>
      </c>
      <c r="AQ335">
        <f t="shared" ca="1" si="61"/>
        <v>1</v>
      </c>
      <c r="AR335">
        <f t="shared" ca="1" si="62"/>
        <v>0.25</v>
      </c>
      <c r="AS335">
        <v>0</v>
      </c>
    </row>
    <row r="336" spans="1:45" x14ac:dyDescent="0.3">
      <c r="A336" s="1">
        <v>594</v>
      </c>
      <c r="C336" t="s">
        <v>537</v>
      </c>
      <c r="D336">
        <v>2021</v>
      </c>
      <c r="E336">
        <v>0</v>
      </c>
      <c r="F336">
        <v>2</v>
      </c>
      <c r="G336" t="s">
        <v>561</v>
      </c>
      <c r="H336" t="s">
        <v>860</v>
      </c>
      <c r="I336" t="s">
        <v>1171</v>
      </c>
      <c r="J336" t="s">
        <v>1406</v>
      </c>
      <c r="K336" t="s">
        <v>1624</v>
      </c>
      <c r="Z336" s="22" t="s">
        <v>2167</v>
      </c>
      <c r="AA336" s="22" t="s">
        <v>2167</v>
      </c>
      <c r="AI336">
        <f t="shared" si="53"/>
        <v>0</v>
      </c>
      <c r="AJ336">
        <f t="shared" si="54"/>
        <v>0</v>
      </c>
      <c r="AK336">
        <f t="shared" ca="1" si="55"/>
        <v>0</v>
      </c>
      <c r="AL336">
        <f t="shared" ca="1" si="56"/>
        <v>0</v>
      </c>
      <c r="AM336">
        <f t="shared" ca="1" si="57"/>
        <v>2</v>
      </c>
      <c r="AN336">
        <f t="shared" ca="1" si="58"/>
        <v>0</v>
      </c>
      <c r="AO336">
        <f t="shared" ca="1" si="59"/>
        <v>0</v>
      </c>
      <c r="AP336">
        <f t="shared" ca="1" si="60"/>
        <v>1</v>
      </c>
      <c r="AQ336">
        <f t="shared" ca="1" si="61"/>
        <v>1</v>
      </c>
      <c r="AR336">
        <f t="shared" ca="1" si="62"/>
        <v>0</v>
      </c>
      <c r="AS336">
        <v>0</v>
      </c>
    </row>
    <row r="337" spans="1:45" x14ac:dyDescent="0.3">
      <c r="A337" s="1">
        <v>595</v>
      </c>
      <c r="C337" t="s">
        <v>538</v>
      </c>
      <c r="D337">
        <v>2021</v>
      </c>
      <c r="E337">
        <v>0</v>
      </c>
      <c r="F337">
        <v>5</v>
      </c>
      <c r="G337" t="s">
        <v>561</v>
      </c>
      <c r="H337" t="s">
        <v>861</v>
      </c>
      <c r="I337" t="s">
        <v>1172</v>
      </c>
      <c r="J337" t="s">
        <v>1407</v>
      </c>
      <c r="K337" t="s">
        <v>1625</v>
      </c>
      <c r="L337" t="s">
        <v>1778</v>
      </c>
      <c r="M337" t="s">
        <v>1924</v>
      </c>
      <c r="N337" t="s">
        <v>1989</v>
      </c>
      <c r="O337" t="s">
        <v>2046</v>
      </c>
      <c r="P337" t="s">
        <v>2078</v>
      </c>
      <c r="Q337" t="s">
        <v>2102</v>
      </c>
      <c r="Z337" s="22" t="s">
        <v>2167</v>
      </c>
      <c r="AA337" s="22" t="s">
        <v>2167</v>
      </c>
      <c r="AB337" s="22" t="s">
        <v>2167</v>
      </c>
      <c r="AC337" s="22" t="s">
        <v>2167</v>
      </c>
      <c r="AD337" s="22" t="s">
        <v>2167</v>
      </c>
      <c r="AI337">
        <f t="shared" si="53"/>
        <v>0</v>
      </c>
      <c r="AJ337">
        <f t="shared" si="54"/>
        <v>0</v>
      </c>
      <c r="AK337">
        <f t="shared" ca="1" si="55"/>
        <v>0</v>
      </c>
      <c r="AL337">
        <f t="shared" ca="1" si="56"/>
        <v>0</v>
      </c>
      <c r="AM337">
        <f t="shared" ca="1" si="57"/>
        <v>5</v>
      </c>
      <c r="AN337">
        <f t="shared" ca="1" si="58"/>
        <v>0</v>
      </c>
      <c r="AO337">
        <f t="shared" ca="1" si="59"/>
        <v>0</v>
      </c>
      <c r="AP337">
        <f t="shared" ca="1" si="60"/>
        <v>1</v>
      </c>
      <c r="AQ337">
        <f t="shared" ca="1" si="61"/>
        <v>1</v>
      </c>
      <c r="AR337">
        <f t="shared" ca="1" si="62"/>
        <v>0</v>
      </c>
      <c r="AS337">
        <v>0</v>
      </c>
    </row>
    <row r="338" spans="1:45" x14ac:dyDescent="0.3">
      <c r="A338" s="1">
        <v>598</v>
      </c>
      <c r="C338" t="s">
        <v>539</v>
      </c>
      <c r="D338">
        <v>2021</v>
      </c>
      <c r="E338">
        <v>0</v>
      </c>
      <c r="F338">
        <v>6</v>
      </c>
      <c r="G338" t="s">
        <v>561</v>
      </c>
      <c r="H338" t="s">
        <v>862</v>
      </c>
      <c r="I338" t="s">
        <v>1173</v>
      </c>
      <c r="J338" t="s">
        <v>1408</v>
      </c>
      <c r="K338" t="s">
        <v>1626</v>
      </c>
      <c r="L338" t="s">
        <v>1779</v>
      </c>
      <c r="M338" t="s">
        <v>1925</v>
      </c>
      <c r="N338" t="s">
        <v>1990</v>
      </c>
      <c r="O338" t="s">
        <v>2047</v>
      </c>
      <c r="P338" t="s">
        <v>2079</v>
      </c>
      <c r="Q338" t="s">
        <v>2103</v>
      </c>
      <c r="R338" t="s">
        <v>2120</v>
      </c>
      <c r="S338" t="s">
        <v>2134</v>
      </c>
      <c r="Z338" s="22" t="s">
        <v>2167</v>
      </c>
      <c r="AA338" s="22" t="s">
        <v>2167</v>
      </c>
      <c r="AB338" s="21" t="s">
        <v>2166</v>
      </c>
      <c r="AC338" s="22" t="s">
        <v>2167</v>
      </c>
      <c r="AD338" s="23" t="s">
        <v>2168</v>
      </c>
      <c r="AE338" s="22" t="s">
        <v>2167</v>
      </c>
      <c r="AI338">
        <f t="shared" si="53"/>
        <v>1</v>
      </c>
      <c r="AJ338">
        <f t="shared" si="54"/>
        <v>1</v>
      </c>
      <c r="AK338">
        <f t="shared" ca="1" si="55"/>
        <v>1</v>
      </c>
      <c r="AL338">
        <f t="shared" ca="1" si="56"/>
        <v>1</v>
      </c>
      <c r="AM338">
        <f t="shared" ca="1" si="57"/>
        <v>4</v>
      </c>
      <c r="AN338">
        <f t="shared" ca="1" si="58"/>
        <v>0</v>
      </c>
      <c r="AO338">
        <f t="shared" ca="1" si="59"/>
        <v>0</v>
      </c>
      <c r="AP338">
        <f t="shared" ca="1" si="60"/>
        <v>1</v>
      </c>
      <c r="AQ338">
        <f t="shared" ca="1" si="61"/>
        <v>1</v>
      </c>
      <c r="AR338">
        <f t="shared" ca="1" si="62"/>
        <v>0.16666666666666666</v>
      </c>
      <c r="AS338">
        <v>0</v>
      </c>
    </row>
    <row r="339" spans="1:45" x14ac:dyDescent="0.3">
      <c r="A339" s="1">
        <v>599</v>
      </c>
      <c r="C339" t="s">
        <v>540</v>
      </c>
      <c r="D339">
        <v>2021</v>
      </c>
      <c r="E339">
        <v>0</v>
      </c>
      <c r="F339">
        <v>3</v>
      </c>
      <c r="G339" t="s">
        <v>561</v>
      </c>
      <c r="H339" t="s">
        <v>863</v>
      </c>
      <c r="I339" t="s">
        <v>1174</v>
      </c>
      <c r="J339" t="s">
        <v>1409</v>
      </c>
      <c r="K339" t="s">
        <v>1627</v>
      </c>
      <c r="L339" t="s">
        <v>1780</v>
      </c>
      <c r="M339" t="s">
        <v>1926</v>
      </c>
      <c r="Z339" s="22" t="s">
        <v>2167</v>
      </c>
      <c r="AA339" s="22" t="s">
        <v>2167</v>
      </c>
      <c r="AB339" s="22" t="s">
        <v>2167</v>
      </c>
      <c r="AI339">
        <f t="shared" si="53"/>
        <v>0</v>
      </c>
      <c r="AJ339">
        <f t="shared" si="54"/>
        <v>0</v>
      </c>
      <c r="AK339">
        <f t="shared" ca="1" si="55"/>
        <v>0</v>
      </c>
      <c r="AL339">
        <f t="shared" ca="1" si="56"/>
        <v>0</v>
      </c>
      <c r="AM339">
        <f t="shared" ca="1" si="57"/>
        <v>3</v>
      </c>
      <c r="AN339">
        <f t="shared" ca="1" si="58"/>
        <v>0</v>
      </c>
      <c r="AO339">
        <f t="shared" ca="1" si="59"/>
        <v>0</v>
      </c>
      <c r="AP339">
        <f t="shared" ca="1" si="60"/>
        <v>1</v>
      </c>
      <c r="AQ339">
        <f t="shared" ca="1" si="61"/>
        <v>1</v>
      </c>
      <c r="AR339">
        <f t="shared" ca="1" si="62"/>
        <v>0</v>
      </c>
      <c r="AS339">
        <v>0</v>
      </c>
    </row>
    <row r="340" spans="1:45" x14ac:dyDescent="0.3">
      <c r="A340" s="1">
        <v>600</v>
      </c>
      <c r="C340" t="s">
        <v>541</v>
      </c>
      <c r="D340">
        <v>2021</v>
      </c>
      <c r="E340">
        <v>0</v>
      </c>
      <c r="F340">
        <v>1</v>
      </c>
      <c r="G340" t="s">
        <v>561</v>
      </c>
      <c r="H340" t="s">
        <v>864</v>
      </c>
      <c r="I340" t="s">
        <v>1175</v>
      </c>
      <c r="Z340" s="22" t="s">
        <v>2167</v>
      </c>
      <c r="AI340">
        <f t="shared" si="53"/>
        <v>0</v>
      </c>
      <c r="AJ340">
        <f t="shared" si="54"/>
        <v>0</v>
      </c>
      <c r="AK340">
        <f t="shared" ca="1" si="55"/>
        <v>0</v>
      </c>
      <c r="AL340">
        <f t="shared" ca="1" si="56"/>
        <v>0</v>
      </c>
      <c r="AM340">
        <f t="shared" ca="1" si="57"/>
        <v>1</v>
      </c>
      <c r="AN340">
        <f t="shared" ca="1" si="58"/>
        <v>0</v>
      </c>
      <c r="AO340">
        <f t="shared" ca="1" si="59"/>
        <v>0</v>
      </c>
      <c r="AP340">
        <f t="shared" ca="1" si="60"/>
        <v>1</v>
      </c>
      <c r="AQ340">
        <f t="shared" ca="1" si="61"/>
        <v>1</v>
      </c>
      <c r="AR340">
        <f t="shared" ca="1" si="62"/>
        <v>0</v>
      </c>
      <c r="AS340">
        <v>0</v>
      </c>
    </row>
    <row r="341" spans="1:45" x14ac:dyDescent="0.3">
      <c r="A341" s="1">
        <v>603</v>
      </c>
      <c r="C341" t="s">
        <v>542</v>
      </c>
      <c r="D341">
        <v>2021</v>
      </c>
      <c r="E341">
        <v>0</v>
      </c>
      <c r="F341">
        <v>6</v>
      </c>
      <c r="G341" t="s">
        <v>561</v>
      </c>
      <c r="H341" t="s">
        <v>681</v>
      </c>
      <c r="I341" t="s">
        <v>1003</v>
      </c>
      <c r="J341" t="s">
        <v>1274</v>
      </c>
      <c r="K341" t="s">
        <v>1502</v>
      </c>
      <c r="L341" t="s">
        <v>1695</v>
      </c>
      <c r="M341" t="s">
        <v>1846</v>
      </c>
      <c r="N341" t="s">
        <v>1953</v>
      </c>
      <c r="O341" t="s">
        <v>2013</v>
      </c>
      <c r="P341" t="s">
        <v>2063</v>
      </c>
      <c r="Q341" t="s">
        <v>2088</v>
      </c>
      <c r="R341" t="s">
        <v>2111</v>
      </c>
      <c r="S341" t="s">
        <v>2126</v>
      </c>
      <c r="Z341" s="22" t="s">
        <v>2167</v>
      </c>
      <c r="AA341" s="21" t="s">
        <v>2166</v>
      </c>
      <c r="AB341" s="21" t="s">
        <v>2166</v>
      </c>
      <c r="AC341" s="21" t="s">
        <v>2166</v>
      </c>
      <c r="AD341" s="23" t="s">
        <v>2168</v>
      </c>
      <c r="AE341" s="21" t="s">
        <v>2166</v>
      </c>
      <c r="AI341">
        <f t="shared" si="53"/>
        <v>4</v>
      </c>
      <c r="AJ341">
        <f t="shared" si="54"/>
        <v>1</v>
      </c>
      <c r="AK341">
        <f t="shared" ca="1" si="55"/>
        <v>4</v>
      </c>
      <c r="AL341">
        <f t="shared" ca="1" si="56"/>
        <v>1</v>
      </c>
      <c r="AM341">
        <f t="shared" ca="1" si="57"/>
        <v>1</v>
      </c>
      <c r="AN341">
        <f t="shared" ca="1" si="58"/>
        <v>0</v>
      </c>
      <c r="AO341">
        <f t="shared" ca="1" si="59"/>
        <v>0</v>
      </c>
      <c r="AP341">
        <f t="shared" ca="1" si="60"/>
        <v>1</v>
      </c>
      <c r="AQ341">
        <f t="shared" ca="1" si="61"/>
        <v>1</v>
      </c>
      <c r="AR341">
        <f t="shared" ca="1" si="62"/>
        <v>1.8518518518518517E-2</v>
      </c>
      <c r="AS341">
        <v>0</v>
      </c>
    </row>
    <row r="342" spans="1:45" x14ac:dyDescent="0.3">
      <c r="A342" s="1">
        <v>604</v>
      </c>
      <c r="B342" s="2" t="s">
        <v>199</v>
      </c>
      <c r="C342" t="s">
        <v>543</v>
      </c>
      <c r="D342">
        <v>2017</v>
      </c>
      <c r="E342">
        <v>0</v>
      </c>
      <c r="F342">
        <v>3</v>
      </c>
      <c r="G342" t="s">
        <v>561</v>
      </c>
      <c r="H342" t="s">
        <v>865</v>
      </c>
      <c r="I342" t="s">
        <v>1176</v>
      </c>
      <c r="J342" t="s">
        <v>1410</v>
      </c>
      <c r="K342" t="s">
        <v>953</v>
      </c>
      <c r="L342" t="s">
        <v>1781</v>
      </c>
      <c r="M342" t="s">
        <v>1927</v>
      </c>
      <c r="Z342" s="23" t="s">
        <v>2168</v>
      </c>
      <c r="AA342" s="23" t="s">
        <v>2168</v>
      </c>
      <c r="AB342" s="21" t="s">
        <v>2166</v>
      </c>
      <c r="AI342">
        <f t="shared" si="53"/>
        <v>1</v>
      </c>
      <c r="AJ342">
        <f t="shared" si="54"/>
        <v>2</v>
      </c>
      <c r="AK342">
        <f t="shared" ca="1" si="55"/>
        <v>1</v>
      </c>
      <c r="AL342">
        <f t="shared" ca="1" si="56"/>
        <v>2</v>
      </c>
      <c r="AM342">
        <f t="shared" ca="1" si="57"/>
        <v>0</v>
      </c>
      <c r="AN342">
        <f t="shared" ca="1" si="58"/>
        <v>0</v>
      </c>
      <c r="AO342">
        <f t="shared" ca="1" si="59"/>
        <v>0</v>
      </c>
      <c r="AP342">
        <f t="shared" ca="1" si="60"/>
        <v>0</v>
      </c>
      <c r="AQ342">
        <f t="shared" ca="1" si="61"/>
        <v>1</v>
      </c>
      <c r="AR342">
        <f t="shared" ca="1" si="62"/>
        <v>0.33333333333333331</v>
      </c>
      <c r="AS342">
        <v>0</v>
      </c>
    </row>
    <row r="343" spans="1:45" x14ac:dyDescent="0.3">
      <c r="A343" s="1">
        <v>605</v>
      </c>
      <c r="C343" t="s">
        <v>544</v>
      </c>
      <c r="D343">
        <v>2021</v>
      </c>
      <c r="E343">
        <v>0</v>
      </c>
      <c r="F343">
        <v>4</v>
      </c>
      <c r="G343" t="s">
        <v>561</v>
      </c>
      <c r="H343" t="s">
        <v>866</v>
      </c>
      <c r="I343" t="s">
        <v>1177</v>
      </c>
      <c r="J343" t="s">
        <v>1411</v>
      </c>
      <c r="K343" t="s">
        <v>1628</v>
      </c>
      <c r="L343" t="s">
        <v>1782</v>
      </c>
      <c r="M343" t="s">
        <v>1928</v>
      </c>
      <c r="N343" t="s">
        <v>1991</v>
      </c>
      <c r="O343" t="s">
        <v>2048</v>
      </c>
      <c r="Z343" s="22" t="s">
        <v>2167</v>
      </c>
      <c r="AA343" s="23" t="s">
        <v>2168</v>
      </c>
      <c r="AB343" s="22" t="s">
        <v>2167</v>
      </c>
      <c r="AC343" s="23" t="s">
        <v>2168</v>
      </c>
      <c r="AI343">
        <f t="shared" si="53"/>
        <v>0</v>
      </c>
      <c r="AJ343">
        <f t="shared" si="54"/>
        <v>2</v>
      </c>
      <c r="AK343">
        <f t="shared" ca="1" si="55"/>
        <v>0</v>
      </c>
      <c r="AL343">
        <f t="shared" ca="1" si="56"/>
        <v>2</v>
      </c>
      <c r="AM343">
        <f t="shared" ca="1" si="57"/>
        <v>2</v>
      </c>
      <c r="AN343">
        <f t="shared" ca="1" si="58"/>
        <v>0</v>
      </c>
      <c r="AO343">
        <f t="shared" ca="1" si="59"/>
        <v>0</v>
      </c>
      <c r="AP343">
        <f t="shared" ca="1" si="60"/>
        <v>1</v>
      </c>
      <c r="AQ343">
        <f t="shared" ca="1" si="61"/>
        <v>1</v>
      </c>
      <c r="AR343">
        <f t="shared" ca="1" si="62"/>
        <v>0</v>
      </c>
      <c r="AS343">
        <v>0</v>
      </c>
    </row>
    <row r="344" spans="1:45" x14ac:dyDescent="0.3">
      <c r="A344" s="1">
        <v>606</v>
      </c>
      <c r="C344" t="s">
        <v>545</v>
      </c>
      <c r="D344">
        <v>2015</v>
      </c>
      <c r="E344">
        <v>0</v>
      </c>
      <c r="F344">
        <v>1</v>
      </c>
      <c r="G344" t="s">
        <v>561</v>
      </c>
      <c r="H344" t="s">
        <v>867</v>
      </c>
      <c r="I344" t="s">
        <v>1178</v>
      </c>
      <c r="Z344" s="22" t="s">
        <v>2167</v>
      </c>
      <c r="AI344">
        <f t="shared" si="53"/>
        <v>0</v>
      </c>
      <c r="AJ344">
        <f t="shared" si="54"/>
        <v>0</v>
      </c>
      <c r="AK344">
        <f t="shared" ca="1" si="55"/>
        <v>0</v>
      </c>
      <c r="AL344">
        <f t="shared" ca="1" si="56"/>
        <v>0</v>
      </c>
      <c r="AM344">
        <f t="shared" ca="1" si="57"/>
        <v>1</v>
      </c>
      <c r="AN344">
        <f t="shared" ca="1" si="58"/>
        <v>0</v>
      </c>
      <c r="AO344">
        <f t="shared" ca="1" si="59"/>
        <v>0</v>
      </c>
      <c r="AP344">
        <f t="shared" ca="1" si="60"/>
        <v>1</v>
      </c>
      <c r="AQ344">
        <f t="shared" ca="1" si="61"/>
        <v>1</v>
      </c>
      <c r="AR344">
        <f t="shared" ca="1" si="62"/>
        <v>0</v>
      </c>
      <c r="AS344">
        <v>0</v>
      </c>
    </row>
    <row r="345" spans="1:45" x14ac:dyDescent="0.3">
      <c r="A345" s="1">
        <v>608</v>
      </c>
      <c r="C345" t="s">
        <v>546</v>
      </c>
      <c r="D345">
        <v>2021</v>
      </c>
      <c r="E345">
        <v>0</v>
      </c>
      <c r="F345">
        <v>3</v>
      </c>
      <c r="G345" t="s">
        <v>561</v>
      </c>
      <c r="H345" t="s">
        <v>868</v>
      </c>
      <c r="I345" t="s">
        <v>1179</v>
      </c>
      <c r="J345" t="s">
        <v>1412</v>
      </c>
      <c r="K345" t="s">
        <v>1629</v>
      </c>
      <c r="L345" t="s">
        <v>1783</v>
      </c>
      <c r="M345" t="s">
        <v>1929</v>
      </c>
      <c r="Z345" s="22" t="s">
        <v>2167</v>
      </c>
      <c r="AA345" s="22" t="s">
        <v>2167</v>
      </c>
      <c r="AB345" s="22" t="s">
        <v>2167</v>
      </c>
      <c r="AI345">
        <f t="shared" si="53"/>
        <v>0</v>
      </c>
      <c r="AJ345">
        <f t="shared" si="54"/>
        <v>0</v>
      </c>
      <c r="AK345">
        <f t="shared" ca="1" si="55"/>
        <v>0</v>
      </c>
      <c r="AL345">
        <f t="shared" ca="1" si="56"/>
        <v>0</v>
      </c>
      <c r="AM345">
        <f t="shared" ca="1" si="57"/>
        <v>3</v>
      </c>
      <c r="AN345">
        <f t="shared" ca="1" si="58"/>
        <v>0</v>
      </c>
      <c r="AO345">
        <f t="shared" ca="1" si="59"/>
        <v>0</v>
      </c>
      <c r="AP345">
        <f t="shared" ca="1" si="60"/>
        <v>1</v>
      </c>
      <c r="AQ345">
        <f t="shared" ca="1" si="61"/>
        <v>1</v>
      </c>
      <c r="AR345">
        <f t="shared" ca="1" si="62"/>
        <v>0</v>
      </c>
      <c r="AS345">
        <v>0</v>
      </c>
    </row>
    <row r="346" spans="1:45" x14ac:dyDescent="0.3">
      <c r="A346" s="1">
        <v>609</v>
      </c>
      <c r="C346" t="s">
        <v>547</v>
      </c>
      <c r="D346">
        <v>2021</v>
      </c>
      <c r="E346">
        <v>0</v>
      </c>
      <c r="F346">
        <v>3</v>
      </c>
      <c r="G346" t="s">
        <v>561</v>
      </c>
      <c r="H346" t="s">
        <v>869</v>
      </c>
      <c r="I346" t="s">
        <v>1180</v>
      </c>
      <c r="J346" t="s">
        <v>1413</v>
      </c>
      <c r="K346" t="s">
        <v>1630</v>
      </c>
      <c r="L346" t="s">
        <v>1784</v>
      </c>
      <c r="M346" t="s">
        <v>1930</v>
      </c>
      <c r="Z346" s="22" t="s">
        <v>2167</v>
      </c>
      <c r="AA346" s="22" t="s">
        <v>2167</v>
      </c>
      <c r="AB346" s="22" t="s">
        <v>2167</v>
      </c>
      <c r="AI346">
        <f t="shared" si="53"/>
        <v>0</v>
      </c>
      <c r="AJ346">
        <f t="shared" si="54"/>
        <v>0</v>
      </c>
      <c r="AK346">
        <f t="shared" ca="1" si="55"/>
        <v>0</v>
      </c>
      <c r="AL346">
        <f t="shared" ca="1" si="56"/>
        <v>0</v>
      </c>
      <c r="AM346">
        <f t="shared" ca="1" si="57"/>
        <v>3</v>
      </c>
      <c r="AN346">
        <f t="shared" ca="1" si="58"/>
        <v>0</v>
      </c>
      <c r="AO346">
        <f t="shared" ca="1" si="59"/>
        <v>0</v>
      </c>
      <c r="AP346">
        <f t="shared" ca="1" si="60"/>
        <v>1</v>
      </c>
      <c r="AQ346">
        <f t="shared" ca="1" si="61"/>
        <v>1</v>
      </c>
      <c r="AR346">
        <f t="shared" ca="1" si="62"/>
        <v>0</v>
      </c>
      <c r="AS346">
        <v>0</v>
      </c>
    </row>
    <row r="347" spans="1:45" x14ac:dyDescent="0.3">
      <c r="A347" s="1">
        <v>610</v>
      </c>
      <c r="C347" t="s">
        <v>548</v>
      </c>
      <c r="D347">
        <v>2021</v>
      </c>
      <c r="E347">
        <v>0</v>
      </c>
      <c r="F347">
        <v>4</v>
      </c>
      <c r="G347" t="s">
        <v>561</v>
      </c>
      <c r="H347" t="s">
        <v>870</v>
      </c>
      <c r="I347" t="s">
        <v>1181</v>
      </c>
      <c r="J347" t="s">
        <v>1414</v>
      </c>
      <c r="K347" t="s">
        <v>1631</v>
      </c>
      <c r="L347" t="s">
        <v>1785</v>
      </c>
      <c r="M347" t="s">
        <v>1931</v>
      </c>
      <c r="N347" t="s">
        <v>1992</v>
      </c>
      <c r="O347" t="s">
        <v>2049</v>
      </c>
      <c r="Z347" s="23" t="s">
        <v>2168</v>
      </c>
      <c r="AA347" s="21" t="s">
        <v>2166</v>
      </c>
      <c r="AB347" s="22" t="s">
        <v>2167</v>
      </c>
      <c r="AC347" s="22" t="s">
        <v>2167</v>
      </c>
      <c r="AI347">
        <f t="shared" si="53"/>
        <v>1</v>
      </c>
      <c r="AJ347">
        <f t="shared" si="54"/>
        <v>1</v>
      </c>
      <c r="AK347">
        <f t="shared" ca="1" si="55"/>
        <v>1</v>
      </c>
      <c r="AL347">
        <f t="shared" ca="1" si="56"/>
        <v>1</v>
      </c>
      <c r="AM347">
        <f t="shared" ca="1" si="57"/>
        <v>2</v>
      </c>
      <c r="AN347">
        <f t="shared" ca="1" si="58"/>
        <v>0</v>
      </c>
      <c r="AO347">
        <f t="shared" ca="1" si="59"/>
        <v>0</v>
      </c>
      <c r="AP347">
        <f t="shared" ca="1" si="60"/>
        <v>1</v>
      </c>
      <c r="AQ347">
        <f t="shared" ca="1" si="61"/>
        <v>1</v>
      </c>
      <c r="AR347">
        <f t="shared" ca="1" si="62"/>
        <v>0.25</v>
      </c>
      <c r="AS347">
        <v>0</v>
      </c>
    </row>
    <row r="348" spans="1:45" x14ac:dyDescent="0.3">
      <c r="A348" s="1">
        <v>611</v>
      </c>
      <c r="C348" t="s">
        <v>549</v>
      </c>
      <c r="D348">
        <v>2021</v>
      </c>
      <c r="E348">
        <v>0</v>
      </c>
      <c r="F348">
        <v>3</v>
      </c>
      <c r="G348" t="s">
        <v>561</v>
      </c>
      <c r="H348" t="s">
        <v>871</v>
      </c>
      <c r="I348" t="s">
        <v>1182</v>
      </c>
      <c r="J348" t="s">
        <v>1415</v>
      </c>
      <c r="K348" t="s">
        <v>1632</v>
      </c>
      <c r="L348" t="s">
        <v>1786</v>
      </c>
      <c r="M348" t="s">
        <v>1932</v>
      </c>
      <c r="Z348" s="22" t="s">
        <v>2167</v>
      </c>
      <c r="AA348" s="22" t="s">
        <v>2167</v>
      </c>
      <c r="AB348" s="23" t="s">
        <v>2168</v>
      </c>
      <c r="AI348">
        <f t="shared" si="53"/>
        <v>0</v>
      </c>
      <c r="AJ348">
        <f t="shared" si="54"/>
        <v>1</v>
      </c>
      <c r="AK348">
        <f t="shared" ca="1" si="55"/>
        <v>0</v>
      </c>
      <c r="AL348">
        <f t="shared" ca="1" si="56"/>
        <v>1</v>
      </c>
      <c r="AM348">
        <f t="shared" ca="1" si="57"/>
        <v>2</v>
      </c>
      <c r="AN348">
        <f t="shared" ca="1" si="58"/>
        <v>0</v>
      </c>
      <c r="AO348">
        <f t="shared" ca="1" si="59"/>
        <v>0</v>
      </c>
      <c r="AP348">
        <f t="shared" ca="1" si="60"/>
        <v>1</v>
      </c>
      <c r="AQ348">
        <f t="shared" ca="1" si="61"/>
        <v>1</v>
      </c>
      <c r="AR348">
        <f t="shared" ca="1" si="62"/>
        <v>0</v>
      </c>
      <c r="AS348">
        <v>0</v>
      </c>
    </row>
    <row r="349" spans="1:45" x14ac:dyDescent="0.3">
      <c r="A349" s="1">
        <v>612</v>
      </c>
      <c r="C349" t="s">
        <v>550</v>
      </c>
      <c r="D349">
        <v>2021</v>
      </c>
      <c r="E349">
        <v>0</v>
      </c>
      <c r="F349">
        <v>3</v>
      </c>
      <c r="G349" t="s">
        <v>561</v>
      </c>
      <c r="H349" t="s">
        <v>872</v>
      </c>
      <c r="I349" t="s">
        <v>1183</v>
      </c>
      <c r="J349" t="s">
        <v>1416</v>
      </c>
      <c r="K349" t="s">
        <v>1633</v>
      </c>
      <c r="L349" t="s">
        <v>1787</v>
      </c>
      <c r="M349" t="s">
        <v>1933</v>
      </c>
      <c r="Z349" s="23" t="s">
        <v>2168</v>
      </c>
      <c r="AA349" s="23" t="s">
        <v>2168</v>
      </c>
      <c r="AB349" s="21" t="s">
        <v>2166</v>
      </c>
      <c r="AI349">
        <f t="shared" si="53"/>
        <v>1</v>
      </c>
      <c r="AJ349">
        <f t="shared" si="54"/>
        <v>2</v>
      </c>
      <c r="AK349">
        <f t="shared" ca="1" si="55"/>
        <v>1</v>
      </c>
      <c r="AL349">
        <f t="shared" ca="1" si="56"/>
        <v>2</v>
      </c>
      <c r="AM349">
        <f t="shared" ca="1" si="57"/>
        <v>0</v>
      </c>
      <c r="AN349">
        <f t="shared" ca="1" si="58"/>
        <v>0</v>
      </c>
      <c r="AO349">
        <f t="shared" ca="1" si="59"/>
        <v>0</v>
      </c>
      <c r="AP349">
        <f t="shared" ca="1" si="60"/>
        <v>0</v>
      </c>
      <c r="AQ349">
        <f t="shared" ca="1" si="61"/>
        <v>1</v>
      </c>
      <c r="AR349">
        <f t="shared" ca="1" si="62"/>
        <v>0.33333333333333331</v>
      </c>
      <c r="AS349">
        <v>0</v>
      </c>
    </row>
    <row r="350" spans="1:45" x14ac:dyDescent="0.3">
      <c r="A350" s="1">
        <v>613</v>
      </c>
      <c r="C350" t="s">
        <v>551</v>
      </c>
      <c r="D350">
        <v>2021</v>
      </c>
      <c r="E350">
        <v>0</v>
      </c>
      <c r="F350">
        <v>4</v>
      </c>
      <c r="G350" t="s">
        <v>561</v>
      </c>
      <c r="H350" t="s">
        <v>873</v>
      </c>
      <c r="I350" t="s">
        <v>1184</v>
      </c>
      <c r="J350" t="s">
        <v>1417</v>
      </c>
      <c r="K350" t="s">
        <v>1634</v>
      </c>
      <c r="L350" t="s">
        <v>1788</v>
      </c>
      <c r="M350" t="s">
        <v>1934</v>
      </c>
      <c r="N350" t="s">
        <v>1993</v>
      </c>
      <c r="O350" t="s">
        <v>2050</v>
      </c>
      <c r="Z350" s="22" t="s">
        <v>2167</v>
      </c>
      <c r="AA350" s="22" t="s">
        <v>2167</v>
      </c>
      <c r="AB350" s="22" t="s">
        <v>2167</v>
      </c>
      <c r="AC350" s="22" t="s">
        <v>2167</v>
      </c>
      <c r="AI350">
        <f t="shared" si="53"/>
        <v>0</v>
      </c>
      <c r="AJ350">
        <f t="shared" si="54"/>
        <v>0</v>
      </c>
      <c r="AK350">
        <f t="shared" ca="1" si="55"/>
        <v>0</v>
      </c>
      <c r="AL350">
        <f t="shared" ca="1" si="56"/>
        <v>0</v>
      </c>
      <c r="AM350">
        <f t="shared" ca="1" si="57"/>
        <v>4</v>
      </c>
      <c r="AN350">
        <f t="shared" ca="1" si="58"/>
        <v>0</v>
      </c>
      <c r="AO350">
        <f t="shared" ca="1" si="59"/>
        <v>0</v>
      </c>
      <c r="AP350">
        <f t="shared" ca="1" si="60"/>
        <v>1</v>
      </c>
      <c r="AQ350">
        <f t="shared" ca="1" si="61"/>
        <v>1</v>
      </c>
      <c r="AR350">
        <f t="shared" ca="1" si="62"/>
        <v>0</v>
      </c>
      <c r="AS350">
        <v>0</v>
      </c>
    </row>
    <row r="351" spans="1:45" x14ac:dyDescent="0.3">
      <c r="A351" s="1">
        <v>614</v>
      </c>
      <c r="B351" s="2" t="s">
        <v>200</v>
      </c>
      <c r="C351" t="s">
        <v>552</v>
      </c>
      <c r="D351">
        <v>2021</v>
      </c>
      <c r="E351">
        <v>0</v>
      </c>
      <c r="F351">
        <v>1</v>
      </c>
      <c r="G351" t="s">
        <v>561</v>
      </c>
      <c r="H351" t="s">
        <v>874</v>
      </c>
      <c r="I351" t="s">
        <v>1185</v>
      </c>
      <c r="Z351" s="23" t="s">
        <v>2168</v>
      </c>
      <c r="AI351">
        <f t="shared" si="53"/>
        <v>0</v>
      </c>
      <c r="AJ351">
        <f t="shared" si="54"/>
        <v>1</v>
      </c>
      <c r="AK351">
        <f t="shared" ca="1" si="55"/>
        <v>0</v>
      </c>
      <c r="AL351">
        <f t="shared" ca="1" si="56"/>
        <v>1</v>
      </c>
      <c r="AM351">
        <f t="shared" ca="1" si="57"/>
        <v>0</v>
      </c>
      <c r="AN351">
        <f t="shared" ca="1" si="58"/>
        <v>0</v>
      </c>
      <c r="AO351">
        <f t="shared" ca="1" si="59"/>
        <v>1</v>
      </c>
      <c r="AP351">
        <f t="shared" ca="1" si="60"/>
        <v>0</v>
      </c>
      <c r="AQ351">
        <f t="shared" ca="1" si="61"/>
        <v>0</v>
      </c>
      <c r="AR351">
        <f t="shared" ca="1" si="62"/>
        <v>0</v>
      </c>
      <c r="AS351">
        <v>0</v>
      </c>
    </row>
    <row r="352" spans="1:45" x14ac:dyDescent="0.3">
      <c r="A352" s="1">
        <v>615</v>
      </c>
      <c r="C352" t="s">
        <v>553</v>
      </c>
      <c r="D352">
        <v>2021</v>
      </c>
      <c r="E352">
        <v>0</v>
      </c>
      <c r="F352">
        <v>1</v>
      </c>
      <c r="G352" t="s">
        <v>561</v>
      </c>
      <c r="H352" t="s">
        <v>875</v>
      </c>
      <c r="I352" t="s">
        <v>1186</v>
      </c>
      <c r="Z352" s="23" t="s">
        <v>2168</v>
      </c>
      <c r="AI352">
        <f t="shared" si="53"/>
        <v>0</v>
      </c>
      <c r="AJ352">
        <f t="shared" si="54"/>
        <v>1</v>
      </c>
      <c r="AK352">
        <f t="shared" ca="1" si="55"/>
        <v>0</v>
      </c>
      <c r="AL352">
        <f t="shared" ca="1" si="56"/>
        <v>1</v>
      </c>
      <c r="AM352">
        <f t="shared" ca="1" si="57"/>
        <v>0</v>
      </c>
      <c r="AN352">
        <f t="shared" ca="1" si="58"/>
        <v>0</v>
      </c>
      <c r="AO352">
        <f t="shared" ca="1" si="59"/>
        <v>1</v>
      </c>
      <c r="AP352">
        <f t="shared" ca="1" si="60"/>
        <v>0</v>
      </c>
      <c r="AQ352">
        <f t="shared" ca="1" si="61"/>
        <v>0</v>
      </c>
      <c r="AR352">
        <f t="shared" ca="1" si="62"/>
        <v>0</v>
      </c>
      <c r="AS352">
        <v>0</v>
      </c>
    </row>
    <row r="353" spans="1:47" x14ac:dyDescent="0.3">
      <c r="A353" s="1">
        <v>616</v>
      </c>
      <c r="C353" t="s">
        <v>554</v>
      </c>
      <c r="D353">
        <v>2021</v>
      </c>
      <c r="E353">
        <v>0</v>
      </c>
      <c r="F353">
        <v>4</v>
      </c>
      <c r="G353" t="s">
        <v>561</v>
      </c>
      <c r="H353" t="s">
        <v>826</v>
      </c>
      <c r="I353" t="s">
        <v>1140</v>
      </c>
      <c r="J353" t="s">
        <v>1418</v>
      </c>
      <c r="K353" t="s">
        <v>1635</v>
      </c>
      <c r="L353" t="s">
        <v>1789</v>
      </c>
      <c r="M353" t="s">
        <v>1935</v>
      </c>
      <c r="N353" t="s">
        <v>1994</v>
      </c>
      <c r="O353" t="s">
        <v>2051</v>
      </c>
      <c r="Z353" s="22" t="s">
        <v>2167</v>
      </c>
      <c r="AA353" s="22" t="s">
        <v>2167</v>
      </c>
      <c r="AB353" s="22" t="s">
        <v>2167</v>
      </c>
      <c r="AC353" s="22" t="s">
        <v>2167</v>
      </c>
      <c r="AI353">
        <f t="shared" si="53"/>
        <v>0</v>
      </c>
      <c r="AJ353">
        <f t="shared" si="54"/>
        <v>0</v>
      </c>
      <c r="AK353">
        <f t="shared" ca="1" si="55"/>
        <v>0</v>
      </c>
      <c r="AL353">
        <f t="shared" ca="1" si="56"/>
        <v>0</v>
      </c>
      <c r="AM353">
        <f t="shared" ca="1" si="57"/>
        <v>4</v>
      </c>
      <c r="AN353">
        <f t="shared" ca="1" si="58"/>
        <v>0</v>
      </c>
      <c r="AO353">
        <f t="shared" ca="1" si="59"/>
        <v>0</v>
      </c>
      <c r="AP353">
        <f t="shared" ca="1" si="60"/>
        <v>1</v>
      </c>
      <c r="AQ353">
        <f t="shared" ca="1" si="61"/>
        <v>1</v>
      </c>
      <c r="AR353">
        <f t="shared" ca="1" si="62"/>
        <v>0</v>
      </c>
      <c r="AS353">
        <v>0</v>
      </c>
    </row>
    <row r="354" spans="1:47" x14ac:dyDescent="0.3">
      <c r="A354" s="1">
        <v>617</v>
      </c>
      <c r="C354" t="s">
        <v>555</v>
      </c>
      <c r="D354">
        <v>2020</v>
      </c>
      <c r="E354">
        <v>0</v>
      </c>
      <c r="F354">
        <v>1</v>
      </c>
      <c r="G354" t="s">
        <v>561</v>
      </c>
      <c r="H354" t="s">
        <v>876</v>
      </c>
      <c r="I354" t="s">
        <v>1187</v>
      </c>
      <c r="Z354" s="22" t="s">
        <v>2167</v>
      </c>
      <c r="AI354">
        <f t="shared" si="53"/>
        <v>0</v>
      </c>
      <c r="AJ354">
        <f t="shared" si="54"/>
        <v>0</v>
      </c>
      <c r="AK354">
        <f t="shared" ca="1" si="55"/>
        <v>0</v>
      </c>
      <c r="AL354">
        <f t="shared" ca="1" si="56"/>
        <v>0</v>
      </c>
      <c r="AM354">
        <f t="shared" ca="1" si="57"/>
        <v>1</v>
      </c>
      <c r="AN354">
        <f t="shared" ca="1" si="58"/>
        <v>0</v>
      </c>
      <c r="AO354">
        <f t="shared" ca="1" si="59"/>
        <v>0</v>
      </c>
      <c r="AP354">
        <f t="shared" ca="1" si="60"/>
        <v>1</v>
      </c>
      <c r="AQ354">
        <f t="shared" ca="1" si="61"/>
        <v>1</v>
      </c>
      <c r="AR354">
        <f t="shared" ca="1" si="62"/>
        <v>0</v>
      </c>
      <c r="AS354">
        <v>0</v>
      </c>
    </row>
    <row r="355" spans="1:47" x14ac:dyDescent="0.3">
      <c r="A355" s="1">
        <v>618</v>
      </c>
      <c r="C355" t="s">
        <v>556</v>
      </c>
      <c r="D355">
        <v>2017</v>
      </c>
      <c r="E355">
        <v>0</v>
      </c>
      <c r="F355">
        <v>2</v>
      </c>
      <c r="G355" t="s">
        <v>561</v>
      </c>
      <c r="H355" t="s">
        <v>877</v>
      </c>
      <c r="I355" t="s">
        <v>1188</v>
      </c>
      <c r="J355" t="s">
        <v>1419</v>
      </c>
      <c r="K355" t="s">
        <v>1549</v>
      </c>
      <c r="Z355" s="21" t="s">
        <v>2166</v>
      </c>
      <c r="AA355" s="21" t="s">
        <v>2166</v>
      </c>
      <c r="AI355">
        <f t="shared" si="53"/>
        <v>2</v>
      </c>
      <c r="AJ355">
        <f t="shared" si="54"/>
        <v>0</v>
      </c>
      <c r="AK355">
        <f t="shared" ca="1" si="55"/>
        <v>2</v>
      </c>
      <c r="AL355">
        <f t="shared" ca="1" si="56"/>
        <v>0</v>
      </c>
      <c r="AM355">
        <f t="shared" ca="1" si="57"/>
        <v>0</v>
      </c>
      <c r="AN355">
        <f t="shared" ca="1" si="58"/>
        <v>1</v>
      </c>
      <c r="AO355">
        <f t="shared" ca="1" si="59"/>
        <v>0</v>
      </c>
      <c r="AP355">
        <f t="shared" ca="1" si="60"/>
        <v>0</v>
      </c>
      <c r="AQ355">
        <f t="shared" ca="1" si="61"/>
        <v>0</v>
      </c>
      <c r="AR355">
        <f t="shared" ca="1" si="62"/>
        <v>0.5</v>
      </c>
      <c r="AS355">
        <v>0</v>
      </c>
    </row>
    <row r="356" spans="1:47" x14ac:dyDescent="0.3">
      <c r="A356" s="1">
        <v>620</v>
      </c>
      <c r="B356" s="2" t="s">
        <v>201</v>
      </c>
      <c r="C356" t="s">
        <v>557</v>
      </c>
      <c r="D356">
        <v>2021</v>
      </c>
      <c r="E356">
        <v>0</v>
      </c>
      <c r="F356">
        <v>6</v>
      </c>
      <c r="G356" t="s">
        <v>561</v>
      </c>
      <c r="H356" t="s">
        <v>878</v>
      </c>
      <c r="I356" t="s">
        <v>1189</v>
      </c>
      <c r="J356" t="s">
        <v>1420</v>
      </c>
      <c r="L356" t="s">
        <v>1790</v>
      </c>
      <c r="M356" t="s">
        <v>1936</v>
      </c>
      <c r="N356" t="s">
        <v>1995</v>
      </c>
      <c r="O356" t="s">
        <v>2052</v>
      </c>
      <c r="P356" t="s">
        <v>2080</v>
      </c>
      <c r="R356" t="s">
        <v>2121</v>
      </c>
      <c r="Z356" s="21" t="s">
        <v>2166</v>
      </c>
      <c r="AB356" s="23" t="s">
        <v>2168</v>
      </c>
      <c r="AC356" s="21" t="s">
        <v>2166</v>
      </c>
      <c r="AI356">
        <f t="shared" si="53"/>
        <v>2</v>
      </c>
      <c r="AJ356">
        <f t="shared" si="54"/>
        <v>1</v>
      </c>
      <c r="AK356">
        <f t="shared" ca="1" si="55"/>
        <v>2</v>
      </c>
      <c r="AL356">
        <f t="shared" ca="1" si="56"/>
        <v>1</v>
      </c>
      <c r="AM356">
        <f t="shared" ca="1" si="57"/>
        <v>0</v>
      </c>
      <c r="AN356">
        <f t="shared" ca="1" si="58"/>
        <v>0</v>
      </c>
      <c r="AO356">
        <f t="shared" ca="1" si="59"/>
        <v>0</v>
      </c>
      <c r="AP356">
        <f t="shared" ca="1" si="60"/>
        <v>0</v>
      </c>
      <c r="AQ356">
        <f t="shared" ca="1" si="61"/>
        <v>1</v>
      </c>
      <c r="AR356">
        <f t="shared" ca="1" si="62"/>
        <v>5.5555555555555552E-2</v>
      </c>
      <c r="AS356">
        <v>0</v>
      </c>
    </row>
    <row r="357" spans="1:47" x14ac:dyDescent="0.3">
      <c r="A357" s="1">
        <v>622</v>
      </c>
      <c r="B357" s="2" t="s">
        <v>202</v>
      </c>
      <c r="C357" t="s">
        <v>558</v>
      </c>
      <c r="D357">
        <v>2021</v>
      </c>
      <c r="E357">
        <v>0</v>
      </c>
      <c r="F357">
        <v>2</v>
      </c>
      <c r="G357" t="s">
        <v>561</v>
      </c>
      <c r="H357" t="s">
        <v>879</v>
      </c>
      <c r="I357" t="s">
        <v>1190</v>
      </c>
      <c r="J357" t="s">
        <v>1421</v>
      </c>
      <c r="Z357" s="21" t="s">
        <v>2166</v>
      </c>
      <c r="AI357">
        <f t="shared" si="53"/>
        <v>1</v>
      </c>
      <c r="AJ357">
        <f t="shared" si="54"/>
        <v>0</v>
      </c>
      <c r="AK357">
        <f t="shared" ca="1" si="55"/>
        <v>1</v>
      </c>
      <c r="AL357">
        <f t="shared" ca="1" si="56"/>
        <v>0</v>
      </c>
      <c r="AM357">
        <f t="shared" ca="1" si="57"/>
        <v>0</v>
      </c>
      <c r="AN357">
        <f t="shared" ca="1" si="58"/>
        <v>0</v>
      </c>
      <c r="AO357">
        <f t="shared" ca="1" si="59"/>
        <v>0</v>
      </c>
      <c r="AP357">
        <f t="shared" ca="1" si="60"/>
        <v>0</v>
      </c>
      <c r="AQ357">
        <f t="shared" ca="1" si="61"/>
        <v>1</v>
      </c>
      <c r="AR357">
        <f t="shared" ca="1" si="62"/>
        <v>0.5</v>
      </c>
      <c r="AS357">
        <v>0</v>
      </c>
    </row>
    <row r="358" spans="1:47" x14ac:dyDescent="0.3">
      <c r="A358" s="1">
        <v>638</v>
      </c>
      <c r="B358" s="2" t="s">
        <v>203</v>
      </c>
      <c r="C358" t="s">
        <v>559</v>
      </c>
      <c r="D358">
        <v>2016</v>
      </c>
      <c r="E358">
        <v>0</v>
      </c>
      <c r="F358">
        <v>2</v>
      </c>
      <c r="G358" t="s">
        <v>561</v>
      </c>
      <c r="H358" t="s">
        <v>880</v>
      </c>
      <c r="I358" t="s">
        <v>1191</v>
      </c>
      <c r="J358" t="s">
        <v>1422</v>
      </c>
      <c r="K358" t="s">
        <v>1636</v>
      </c>
      <c r="Z358" s="21" t="s">
        <v>2166</v>
      </c>
      <c r="AA358" s="22" t="s">
        <v>2167</v>
      </c>
      <c r="AI358">
        <f t="shared" si="53"/>
        <v>1</v>
      </c>
      <c r="AJ358">
        <f t="shared" si="54"/>
        <v>0</v>
      </c>
      <c r="AK358">
        <f t="shared" ca="1" si="55"/>
        <v>1</v>
      </c>
      <c r="AL358">
        <f t="shared" ca="1" si="56"/>
        <v>0</v>
      </c>
      <c r="AM358">
        <f t="shared" ca="1" si="57"/>
        <v>1</v>
      </c>
      <c r="AN358">
        <f t="shared" ca="1" si="58"/>
        <v>0</v>
      </c>
      <c r="AO358">
        <f t="shared" ca="1" si="59"/>
        <v>0</v>
      </c>
      <c r="AP358">
        <f t="shared" ca="1" si="60"/>
        <v>1</v>
      </c>
      <c r="AQ358">
        <f t="shared" ca="1" si="61"/>
        <v>1</v>
      </c>
      <c r="AR358">
        <f t="shared" ca="1" si="62"/>
        <v>0.5</v>
      </c>
      <c r="AS358">
        <v>0</v>
      </c>
    </row>
    <row r="359" spans="1:47" x14ac:dyDescent="0.3">
      <c r="A359" s="1">
        <v>640</v>
      </c>
      <c r="B359" s="2" t="s">
        <v>204</v>
      </c>
      <c r="C359" t="s">
        <v>560</v>
      </c>
      <c r="D359">
        <v>2016</v>
      </c>
      <c r="E359">
        <v>0</v>
      </c>
      <c r="F359">
        <v>2</v>
      </c>
      <c r="G359" t="s">
        <v>561</v>
      </c>
      <c r="H359" t="s">
        <v>881</v>
      </c>
      <c r="I359" t="s">
        <v>1192</v>
      </c>
      <c r="J359" t="s">
        <v>1423</v>
      </c>
      <c r="K359" t="s">
        <v>1637</v>
      </c>
      <c r="Z359" s="21" t="s">
        <v>2166</v>
      </c>
      <c r="AA359" s="23" t="s">
        <v>2168</v>
      </c>
      <c r="AI359">
        <f t="shared" si="53"/>
        <v>1</v>
      </c>
      <c r="AJ359">
        <f t="shared" si="54"/>
        <v>1</v>
      </c>
      <c r="AK359">
        <f t="shared" ca="1" si="55"/>
        <v>1</v>
      </c>
      <c r="AL359">
        <f t="shared" ca="1" si="56"/>
        <v>1</v>
      </c>
      <c r="AM359">
        <f t="shared" ca="1" si="57"/>
        <v>0</v>
      </c>
      <c r="AN359">
        <f t="shared" ca="1" si="58"/>
        <v>0</v>
      </c>
      <c r="AO359">
        <f t="shared" ca="1" si="59"/>
        <v>0</v>
      </c>
      <c r="AP359">
        <f t="shared" ca="1" si="60"/>
        <v>0</v>
      </c>
      <c r="AQ359">
        <f t="shared" ca="1" si="61"/>
        <v>1</v>
      </c>
      <c r="AR359">
        <f t="shared" ca="1" si="62"/>
        <v>0.5</v>
      </c>
      <c r="AS359">
        <v>0</v>
      </c>
    </row>
    <row r="360" spans="1:47" x14ac:dyDescent="0.3">
      <c r="A360" s="1">
        <v>663</v>
      </c>
      <c r="C360" t="s">
        <v>402</v>
      </c>
      <c r="D360">
        <v>2016</v>
      </c>
      <c r="E360">
        <v>0</v>
      </c>
      <c r="F360">
        <v>1</v>
      </c>
      <c r="G360" t="s">
        <v>561</v>
      </c>
      <c r="H360" t="s">
        <v>737</v>
      </c>
      <c r="I360" t="s">
        <v>1056</v>
      </c>
      <c r="Z360" s="21" t="s">
        <v>2166</v>
      </c>
      <c r="AI360">
        <f t="shared" si="53"/>
        <v>1</v>
      </c>
      <c r="AJ360">
        <f t="shared" si="54"/>
        <v>0</v>
      </c>
      <c r="AK360">
        <f t="shared" ca="1" si="55"/>
        <v>1</v>
      </c>
      <c r="AL360">
        <f t="shared" ca="1" si="56"/>
        <v>0</v>
      </c>
      <c r="AM360">
        <f t="shared" ca="1" si="57"/>
        <v>0</v>
      </c>
      <c r="AN360">
        <f t="shared" ca="1" si="58"/>
        <v>1</v>
      </c>
      <c r="AO360">
        <f t="shared" ca="1" si="59"/>
        <v>0</v>
      </c>
      <c r="AP360">
        <f t="shared" ca="1" si="60"/>
        <v>0</v>
      </c>
      <c r="AQ360">
        <f t="shared" ca="1" si="61"/>
        <v>0</v>
      </c>
      <c r="AR360">
        <f t="shared" ca="1" si="62"/>
        <v>1</v>
      </c>
      <c r="AS360">
        <v>0</v>
      </c>
    </row>
    <row r="361" spans="1:47" x14ac:dyDescent="0.3">
      <c r="A361" s="1">
        <v>689</v>
      </c>
      <c r="C361" t="s">
        <v>401</v>
      </c>
      <c r="D361">
        <v>2016</v>
      </c>
      <c r="E361">
        <v>0</v>
      </c>
      <c r="F361">
        <v>7</v>
      </c>
      <c r="G361" t="s">
        <v>561</v>
      </c>
      <c r="H361" t="s">
        <v>736</v>
      </c>
      <c r="I361" t="s">
        <v>1055</v>
      </c>
      <c r="J361" t="s">
        <v>1323</v>
      </c>
      <c r="K361" t="s">
        <v>1547</v>
      </c>
      <c r="L361" t="s">
        <v>1728</v>
      </c>
      <c r="M361" t="s">
        <v>1877</v>
      </c>
      <c r="N361" t="s">
        <v>1971</v>
      </c>
      <c r="O361" t="s">
        <v>2030</v>
      </c>
      <c r="P361" t="s">
        <v>2068</v>
      </c>
      <c r="Q361" t="s">
        <v>2093</v>
      </c>
      <c r="R361" t="s">
        <v>2113</v>
      </c>
      <c r="S361" t="s">
        <v>2128</v>
      </c>
      <c r="T361" t="s">
        <v>2139</v>
      </c>
      <c r="U361" t="s">
        <v>2146</v>
      </c>
      <c r="Z361" s="23" t="s">
        <v>2168</v>
      </c>
      <c r="AA361" s="23" t="s">
        <v>2168</v>
      </c>
      <c r="AB361" s="22" t="s">
        <v>2167</v>
      </c>
      <c r="AC361" s="22" t="s">
        <v>2167</v>
      </c>
      <c r="AD361" s="23" t="s">
        <v>2168</v>
      </c>
      <c r="AE361" s="22" t="s">
        <v>2167</v>
      </c>
      <c r="AF361" s="23" t="s">
        <v>2168</v>
      </c>
      <c r="AI361">
        <f t="shared" si="53"/>
        <v>0</v>
      </c>
      <c r="AJ361">
        <f t="shared" si="54"/>
        <v>4</v>
      </c>
      <c r="AK361">
        <f t="shared" ca="1" si="55"/>
        <v>0</v>
      </c>
      <c r="AL361">
        <f t="shared" ca="1" si="56"/>
        <v>4</v>
      </c>
      <c r="AM361">
        <f t="shared" ca="1" si="57"/>
        <v>3</v>
      </c>
      <c r="AN361">
        <f t="shared" ca="1" si="58"/>
        <v>0</v>
      </c>
      <c r="AO361">
        <f t="shared" ca="1" si="59"/>
        <v>0</v>
      </c>
      <c r="AP361">
        <f t="shared" ca="1" si="60"/>
        <v>1</v>
      </c>
      <c r="AQ361">
        <f t="shared" ca="1" si="61"/>
        <v>1</v>
      </c>
      <c r="AR361">
        <f t="shared" ca="1" si="62"/>
        <v>0</v>
      </c>
      <c r="AS361">
        <v>0</v>
      </c>
    </row>
    <row r="362" spans="1:47" x14ac:dyDescent="0.3">
      <c r="A362" s="1">
        <v>694</v>
      </c>
      <c r="B362" s="2" t="s">
        <v>205</v>
      </c>
      <c r="C362" t="s">
        <v>345</v>
      </c>
      <c r="D362">
        <v>2019</v>
      </c>
      <c r="E362">
        <v>0</v>
      </c>
      <c r="F362">
        <v>4</v>
      </c>
      <c r="G362" t="s">
        <v>561</v>
      </c>
      <c r="H362" t="s">
        <v>882</v>
      </c>
      <c r="I362" t="s">
        <v>1005</v>
      </c>
      <c r="J362" t="s">
        <v>1424</v>
      </c>
      <c r="K362" t="s">
        <v>1504</v>
      </c>
      <c r="L362" t="s">
        <v>1791</v>
      </c>
      <c r="M362" t="s">
        <v>1848</v>
      </c>
      <c r="N362" t="s">
        <v>1996</v>
      </c>
      <c r="O362" t="s">
        <v>2015</v>
      </c>
      <c r="Z362" s="21" t="s">
        <v>2166</v>
      </c>
      <c r="AA362" s="22" t="s">
        <v>2167</v>
      </c>
      <c r="AB362" s="21" t="s">
        <v>2166</v>
      </c>
      <c r="AC362" s="22" t="s">
        <v>2167</v>
      </c>
      <c r="AI362">
        <f t="shared" si="53"/>
        <v>2</v>
      </c>
      <c r="AJ362">
        <f t="shared" si="54"/>
        <v>0</v>
      </c>
      <c r="AK362">
        <f t="shared" ca="1" si="55"/>
        <v>2</v>
      </c>
      <c r="AL362">
        <f t="shared" ca="1" si="56"/>
        <v>0</v>
      </c>
      <c r="AM362">
        <f t="shared" ca="1" si="57"/>
        <v>2</v>
      </c>
      <c r="AN362">
        <f t="shared" ca="1" si="58"/>
        <v>0</v>
      </c>
      <c r="AO362">
        <f t="shared" ca="1" si="59"/>
        <v>0</v>
      </c>
      <c r="AP362">
        <f t="shared" ca="1" si="60"/>
        <v>1</v>
      </c>
      <c r="AQ362">
        <f t="shared" ca="1" si="61"/>
        <v>1</v>
      </c>
      <c r="AR362">
        <f t="shared" ca="1" si="62"/>
        <v>0.125</v>
      </c>
      <c r="AS362">
        <v>0</v>
      </c>
    </row>
    <row r="363" spans="1:47" x14ac:dyDescent="0.3">
      <c r="A363" s="1">
        <v>699</v>
      </c>
      <c r="B363" s="2" t="s">
        <v>171</v>
      </c>
      <c r="C363" t="s">
        <v>346</v>
      </c>
      <c r="D363">
        <v>2017</v>
      </c>
      <c r="E363">
        <v>0</v>
      </c>
      <c r="F363">
        <v>4</v>
      </c>
      <c r="G363" t="s">
        <v>561</v>
      </c>
      <c r="H363" t="s">
        <v>883</v>
      </c>
      <c r="I363" t="s">
        <v>1006</v>
      </c>
      <c r="J363" t="s">
        <v>1278</v>
      </c>
      <c r="K363" t="s">
        <v>1505</v>
      </c>
      <c r="L363" t="s">
        <v>1792</v>
      </c>
      <c r="M363" t="s">
        <v>1849</v>
      </c>
      <c r="N363" t="s">
        <v>1956</v>
      </c>
      <c r="O363" t="s">
        <v>2016</v>
      </c>
      <c r="Z363" s="21" t="s">
        <v>2166</v>
      </c>
      <c r="AA363" s="22" t="s">
        <v>2167</v>
      </c>
      <c r="AB363" s="21" t="s">
        <v>2166</v>
      </c>
      <c r="AC363" s="21" t="s">
        <v>2166</v>
      </c>
      <c r="AI363">
        <f t="shared" si="53"/>
        <v>3</v>
      </c>
      <c r="AJ363">
        <f t="shared" si="54"/>
        <v>0</v>
      </c>
      <c r="AK363">
        <f ca="1">CountCellsByColor(Z363:AH363,$Z$2)</f>
        <v>3</v>
      </c>
      <c r="AL363">
        <f t="shared" ca="1" si="56"/>
        <v>0</v>
      </c>
      <c r="AM363">
        <f t="shared" ca="1" si="57"/>
        <v>1</v>
      </c>
      <c r="AN363">
        <f t="shared" ca="1" si="58"/>
        <v>0</v>
      </c>
      <c r="AO363">
        <f t="shared" ca="1" si="59"/>
        <v>0</v>
      </c>
      <c r="AP363">
        <f t="shared" ca="1" si="60"/>
        <v>1</v>
      </c>
      <c r="AQ363">
        <f t="shared" ca="1" si="61"/>
        <v>1</v>
      </c>
      <c r="AR363">
        <f t="shared" ca="1" si="62"/>
        <v>9.375E-2</v>
      </c>
      <c r="AS363">
        <v>0</v>
      </c>
    </row>
    <row r="364" spans="1:47" x14ac:dyDescent="0.3">
      <c r="E364">
        <f>SUM($E$2:$E$363)</f>
        <v>1321</v>
      </c>
      <c r="AH364" s="4" t="s">
        <v>2176</v>
      </c>
      <c r="AI364">
        <f>SUM(AI2:AI363)</f>
        <v>314</v>
      </c>
      <c r="AJ364">
        <f>SUM(AJ2:AJ363)</f>
        <v>277</v>
      </c>
      <c r="AN364">
        <f ca="1">SUM(AN2:AN363)</f>
        <v>56</v>
      </c>
      <c r="AO364">
        <f ca="1">SUM(AO2:AO363)</f>
        <v>53</v>
      </c>
      <c r="AP364">
        <f ca="1">SUM(AP2:AP363)</f>
        <v>175</v>
      </c>
      <c r="AQ364">
        <f ca="1">SUM(AQ2:AQ363)</f>
        <v>253</v>
      </c>
      <c r="AR364" s="4"/>
      <c r="AS364" s="28"/>
      <c r="AT364" s="28"/>
      <c r="AU364" s="28"/>
    </row>
    <row r="365" spans="1:47" ht="15" thickBot="1" x14ac:dyDescent="0.35">
      <c r="AH365" t="s">
        <v>2178</v>
      </c>
      <c r="AI365" s="19">
        <f>AI364/AA375</f>
        <v>0.53130287648054142</v>
      </c>
      <c r="AJ365" s="19">
        <f>AJ364/AA375</f>
        <v>0.46869712351945853</v>
      </c>
      <c r="AM365" t="s">
        <v>2188</v>
      </c>
      <c r="AN365" s="19">
        <f ca="1">AN364/362</f>
        <v>0.15469613259668508</v>
      </c>
      <c r="AO365" s="19">
        <f t="shared" ref="AO365:AQ365" ca="1" si="63">AO364/362</f>
        <v>0.14640883977900551</v>
      </c>
      <c r="AP365" s="19">
        <f t="shared" ca="1" si="63"/>
        <v>0.48342541436464087</v>
      </c>
      <c r="AQ365" s="19">
        <f t="shared" ca="1" si="63"/>
        <v>0.69889502762430944</v>
      </c>
    </row>
    <row r="366" spans="1:47" ht="15" thickBot="1" x14ac:dyDescent="0.35">
      <c r="C366" s="39"/>
      <c r="D366" s="40"/>
      <c r="E366" s="40"/>
      <c r="F366" s="50" t="s">
        <v>2231</v>
      </c>
      <c r="G366" s="50"/>
      <c r="H366" s="40"/>
      <c r="I366" s="40"/>
      <c r="J366" s="41"/>
      <c r="W366" s="7" t="s">
        <v>2171</v>
      </c>
      <c r="X366" s="8"/>
      <c r="Y366" s="16" t="s">
        <v>2172</v>
      </c>
      <c r="Z366" s="16" t="s">
        <v>2173</v>
      </c>
      <c r="AA366" s="16" t="s">
        <v>2177</v>
      </c>
      <c r="AB366" s="16" t="s">
        <v>2174</v>
      </c>
      <c r="AC366" s="17" t="s">
        <v>2175</v>
      </c>
      <c r="AE366" s="20" t="s">
        <v>2179</v>
      </c>
      <c r="AF366" s="20" t="s">
        <v>2180</v>
      </c>
      <c r="AL366" t="s">
        <v>2193</v>
      </c>
      <c r="AN366">
        <f ca="1">SUMIF(AN$2:AN$363,1,$E$2:$E$363)</f>
        <v>285</v>
      </c>
      <c r="AO366">
        <f t="shared" ref="AO366:AQ366" ca="1" si="64">SUMIF(AO$2:AO$363,1,$E$2:$E$363)</f>
        <v>274</v>
      </c>
      <c r="AP366">
        <f t="shared" ca="1" si="64"/>
        <v>366</v>
      </c>
      <c r="AQ366">
        <f t="shared" ca="1" si="64"/>
        <v>762</v>
      </c>
    </row>
    <row r="367" spans="1:47" x14ac:dyDescent="0.3">
      <c r="C367" s="42"/>
      <c r="D367" s="43"/>
      <c r="E367" s="43"/>
      <c r="F367" s="43" t="s">
        <v>2207</v>
      </c>
      <c r="G367" s="43" t="s">
        <v>2181</v>
      </c>
      <c r="H367" s="43" t="s">
        <v>2208</v>
      </c>
      <c r="I367" s="43" t="s">
        <v>2187</v>
      </c>
      <c r="J367" s="44"/>
      <c r="W367" s="9"/>
      <c r="X367" s="5">
        <v>2015</v>
      </c>
      <c r="Y367" s="6">
        <f>SUMIF(D2:D363,2015,AI2:AI363)</f>
        <v>19</v>
      </c>
      <c r="Z367" s="6">
        <f>SUMIF(D2:D363,2015,AJ2:AJ363)</f>
        <v>26</v>
      </c>
      <c r="AA367" s="6">
        <f>SUM(Y367,Z367)</f>
        <v>45</v>
      </c>
      <c r="AB367" s="12">
        <f>AA367/Y367</f>
        <v>2.3684210526315788</v>
      </c>
      <c r="AC367" s="13">
        <f>AA367/Z367</f>
        <v>1.7307692307692308</v>
      </c>
      <c r="AE367" s="19">
        <f>Y367/AA367</f>
        <v>0.42222222222222222</v>
      </c>
      <c r="AF367" s="19">
        <f>Z367/AA367</f>
        <v>0.57777777777777772</v>
      </c>
      <c r="AM367" s="7" t="s">
        <v>2171</v>
      </c>
      <c r="AN367" s="8"/>
      <c r="AO367" s="16" t="s">
        <v>2172</v>
      </c>
      <c r="AP367" s="16" t="s">
        <v>2173</v>
      </c>
      <c r="AQ367" s="24" t="s">
        <v>2187</v>
      </c>
      <c r="AR367" s="16" t="s">
        <v>2177</v>
      </c>
      <c r="AS367" s="24" t="s">
        <v>2189</v>
      </c>
      <c r="AT367" s="24" t="s">
        <v>2190</v>
      </c>
      <c r="AU367" s="25" t="s">
        <v>2191</v>
      </c>
    </row>
    <row r="368" spans="1:47" x14ac:dyDescent="0.3">
      <c r="C368" s="42"/>
      <c r="D368" s="43" t="s">
        <v>2204</v>
      </c>
      <c r="E368" s="43">
        <f>_xlfn.QUARTILE.EXC($E$2:$E$363, 1)</f>
        <v>0</v>
      </c>
      <c r="F368" s="43"/>
      <c r="G368" s="43">
        <f ca="1">SUM(AO$166:AO$363)</f>
        <v>20</v>
      </c>
      <c r="H368" s="43">
        <f ca="1">SUM(AN$166:AN$363)</f>
        <v>16</v>
      </c>
      <c r="I368" s="43">
        <f t="shared" ref="I368" ca="1" si="65">SUM(AQ$166:AQ$363)</f>
        <v>162</v>
      </c>
      <c r="J368" s="44"/>
      <c r="W368" s="9"/>
      <c r="X368" s="5">
        <v>2016</v>
      </c>
      <c r="Y368" s="6">
        <f>SUMIF(D2:D363,2016,AI2:AI363)</f>
        <v>39</v>
      </c>
      <c r="Z368" s="6">
        <f>SUMIF(D2:D363,2016,AJ2:AJ363)</f>
        <v>48</v>
      </c>
      <c r="AA368" s="6">
        <f t="shared" ref="AA368:AA373" si="66">SUM(Y368,Z368)</f>
        <v>87</v>
      </c>
      <c r="AB368" s="12">
        <f>AA368/Y368</f>
        <v>2.2307692307692308</v>
      </c>
      <c r="AC368" s="13">
        <f t="shared" ref="AC368:AC373" si="67">AA368/Z368</f>
        <v>1.8125</v>
      </c>
      <c r="AE368" s="19">
        <f t="shared" ref="AE368:AE373" si="68">Y368/AA368</f>
        <v>0.44827586206896552</v>
      </c>
      <c r="AF368" s="19">
        <f t="shared" ref="AF368:AF373" si="69">Z368/AA368</f>
        <v>0.55172413793103448</v>
      </c>
      <c r="AM368" s="9"/>
      <c r="AN368" s="5">
        <v>2015</v>
      </c>
      <c r="AO368" s="6">
        <f ca="1">SUMIF($D$2:$D$363,2015,AN$2:AN$363)</f>
        <v>5</v>
      </c>
      <c r="AP368" s="6">
        <f ca="1">SUMIF($D$2:$D$363,2015,AO$2:AO$363)</f>
        <v>5</v>
      </c>
      <c r="AQ368" s="6">
        <f ca="1">SUMIF($D$2:$D$363,2015,AQ$2:AQ$363)</f>
        <v>19</v>
      </c>
      <c r="AR368" s="6">
        <f ca="1">SUM(AO368:AQ368)</f>
        <v>29</v>
      </c>
      <c r="AS368" s="26">
        <f ca="1">AO368/$AR368</f>
        <v>0.17241379310344829</v>
      </c>
      <c r="AT368" s="26">
        <f t="shared" ref="AT368:AU374" ca="1" si="70">AP368/$AR368</f>
        <v>0.17241379310344829</v>
      </c>
      <c r="AU368" s="26">
        <f t="shared" ca="1" si="70"/>
        <v>0.65517241379310343</v>
      </c>
    </row>
    <row r="369" spans="1:47" x14ac:dyDescent="0.3">
      <c r="C369" s="42"/>
      <c r="D369" s="43" t="s">
        <v>2205</v>
      </c>
      <c r="E369" s="43">
        <f>_xlfn.QUARTILE.EXC($E$2:$E$363, 2)</f>
        <v>0</v>
      </c>
      <c r="F369" s="43"/>
      <c r="G369" s="43">
        <f ca="1">SUM(AO$93:AO$165)</f>
        <v>15</v>
      </c>
      <c r="H369" s="43">
        <f ca="1">SUM(AN$93:AN$165)</f>
        <v>13</v>
      </c>
      <c r="I369" s="43">
        <f t="shared" ref="I369" ca="1" si="71">SUM(AQ$93:AQ$165)</f>
        <v>45</v>
      </c>
      <c r="J369" s="44"/>
      <c r="W369" s="9"/>
      <c r="X369" s="5">
        <v>2017</v>
      </c>
      <c r="Y369" s="6">
        <f>SUMIF(D2:D363,2017,AI2:AI363)</f>
        <v>67</v>
      </c>
      <c r="Z369" s="6">
        <f>SUMIF(D2:D363,2017,AJ2:AJ363)</f>
        <v>37</v>
      </c>
      <c r="AA369" s="6">
        <f t="shared" si="66"/>
        <v>104</v>
      </c>
      <c r="AB369" s="12">
        <f t="shared" ref="AB369:AB373" si="72">AA369/Y369</f>
        <v>1.5522388059701493</v>
      </c>
      <c r="AC369" s="13">
        <f t="shared" si="67"/>
        <v>2.810810810810811</v>
      </c>
      <c r="AE369" s="19">
        <f t="shared" si="68"/>
        <v>0.64423076923076927</v>
      </c>
      <c r="AF369" s="19">
        <f t="shared" si="69"/>
        <v>0.35576923076923078</v>
      </c>
      <c r="AM369" s="9"/>
      <c r="AN369" s="5">
        <v>2016</v>
      </c>
      <c r="AO369" s="6">
        <f ca="1">SUMIF($D$2:$D$363,2016,AN$2:AN$363)</f>
        <v>6</v>
      </c>
      <c r="AP369" s="6">
        <f ca="1">SUMIF($D$2:$D$363,2016,AO$2:AO$363)</f>
        <v>2</v>
      </c>
      <c r="AQ369" s="6">
        <f ca="1">SUMIF($D$2:$D$363,2016,AQ$2:AQ$363)</f>
        <v>37</v>
      </c>
      <c r="AR369" s="6">
        <f t="shared" ref="AR369:AR374" ca="1" si="73">SUM(AO369:AQ369)</f>
        <v>45</v>
      </c>
      <c r="AS369" s="26">
        <f t="shared" ref="AS369:AS374" ca="1" si="74">AO369/$AR369</f>
        <v>0.13333333333333333</v>
      </c>
      <c r="AT369" s="26">
        <f t="shared" ca="1" si="70"/>
        <v>4.4444444444444446E-2</v>
      </c>
      <c r="AU369" s="26">
        <f t="shared" ca="1" si="70"/>
        <v>0.82222222222222219</v>
      </c>
    </row>
    <row r="370" spans="1:47" ht="15" thickBot="1" x14ac:dyDescent="0.35">
      <c r="C370" s="47"/>
      <c r="D370" s="48" t="s">
        <v>2206</v>
      </c>
      <c r="E370" s="48">
        <f>_xlfn.QUARTILE.EXC($E$2:$E$363, 3)</f>
        <v>4</v>
      </c>
      <c r="F370" s="48"/>
      <c r="G370" s="48">
        <f ca="1">SUM(AO$2:AO$92)</f>
        <v>18</v>
      </c>
      <c r="H370" s="48">
        <f ca="1">SUM(AN$2:AN$92)</f>
        <v>27</v>
      </c>
      <c r="I370" s="48">
        <f t="shared" ref="I370" ca="1" si="75">SUM(AQ$2:AQ$92)</f>
        <v>46</v>
      </c>
      <c r="J370" s="49"/>
      <c r="W370" s="9"/>
      <c r="X370" s="5">
        <v>2018</v>
      </c>
      <c r="Y370" s="6">
        <f>SUMIF(D2:D363,2018,AI2:AI363)</f>
        <v>29</v>
      </c>
      <c r="Z370" s="6">
        <f>SUMIF(D2:D363,2018,AJ2:AJ363)</f>
        <v>41</v>
      </c>
      <c r="AA370" s="6">
        <f t="shared" si="66"/>
        <v>70</v>
      </c>
      <c r="AB370" s="12">
        <f t="shared" si="72"/>
        <v>2.4137931034482758</v>
      </c>
      <c r="AC370" s="13">
        <f t="shared" si="67"/>
        <v>1.7073170731707317</v>
      </c>
      <c r="AE370" s="19">
        <f t="shared" si="68"/>
        <v>0.41428571428571431</v>
      </c>
      <c r="AF370" s="19">
        <f t="shared" si="69"/>
        <v>0.58571428571428574</v>
      </c>
      <c r="AM370" s="9"/>
      <c r="AN370" s="5">
        <v>2017</v>
      </c>
      <c r="AO370" s="6">
        <f ca="1">SUMIF($D$2:$D$363,2017,AN$2:AN$363)</f>
        <v>16</v>
      </c>
      <c r="AP370" s="6">
        <f ca="1">SUMIF($D$2:$D$363,2017,AO$2:AO$363)</f>
        <v>6</v>
      </c>
      <c r="AQ370" s="6">
        <f ca="1">SUMIF($D$2:$D$363,2017,AQ$2:AQ$363)</f>
        <v>42</v>
      </c>
      <c r="AR370" s="6">
        <f t="shared" ca="1" si="73"/>
        <v>64</v>
      </c>
      <c r="AS370" s="26">
        <f t="shared" ca="1" si="74"/>
        <v>0.25</v>
      </c>
      <c r="AT370" s="26">
        <f t="shared" ca="1" si="70"/>
        <v>9.375E-2</v>
      </c>
      <c r="AU370" s="26">
        <f t="shared" ca="1" si="70"/>
        <v>0.65625</v>
      </c>
    </row>
    <row r="371" spans="1:47" x14ac:dyDescent="0.3">
      <c r="W371" s="9"/>
      <c r="X371" s="5">
        <v>2019</v>
      </c>
      <c r="Y371" s="6">
        <f>SUMIF(D2:D363,2019,AI2:AI363)</f>
        <v>62</v>
      </c>
      <c r="Z371" s="6">
        <f>SUMIF(D2:D363,2019,AJ2:AJ363)</f>
        <v>34</v>
      </c>
      <c r="AA371" s="6">
        <f t="shared" si="66"/>
        <v>96</v>
      </c>
      <c r="AB371" s="12">
        <f t="shared" si="72"/>
        <v>1.5483870967741935</v>
      </c>
      <c r="AC371" s="13">
        <f t="shared" si="67"/>
        <v>2.8235294117647061</v>
      </c>
      <c r="AE371" s="19">
        <f t="shared" si="68"/>
        <v>0.64583333333333337</v>
      </c>
      <c r="AF371" s="19">
        <f t="shared" si="69"/>
        <v>0.35416666666666669</v>
      </c>
      <c r="AM371" s="9"/>
      <c r="AN371" s="5">
        <v>2018</v>
      </c>
      <c r="AO371" s="6">
        <f ca="1">SUMIF($D$2:$D$363,2018,AN$2:AN$363)</f>
        <v>5</v>
      </c>
      <c r="AP371" s="6">
        <f ca="1">SUMIF($D$2:$D$363,2018,AO$2:AO$363)</f>
        <v>14</v>
      </c>
      <c r="AQ371" s="6">
        <f ca="1">SUMIF($D$2:$D$363,2018,AQ$2:AQ$363)</f>
        <v>32</v>
      </c>
      <c r="AR371" s="6">
        <f t="shared" ca="1" si="73"/>
        <v>51</v>
      </c>
      <c r="AS371" s="26">
        <f t="shared" ca="1" si="74"/>
        <v>9.8039215686274508E-2</v>
      </c>
      <c r="AT371" s="26">
        <f t="shared" ca="1" si="70"/>
        <v>0.27450980392156865</v>
      </c>
      <c r="AU371" s="26">
        <f t="shared" ca="1" si="70"/>
        <v>0.62745098039215685</v>
      </c>
    </row>
    <row r="372" spans="1:47" x14ac:dyDescent="0.3">
      <c r="W372" s="9"/>
      <c r="X372" s="5">
        <v>2020</v>
      </c>
      <c r="Y372" s="6">
        <f>SUMIF(D2:D363,2020,AI2:AI363)</f>
        <v>37</v>
      </c>
      <c r="Z372" s="6">
        <f>SUMIF(D2:D363,2020,AJ2:AJ363)</f>
        <v>45</v>
      </c>
      <c r="AA372" s="6">
        <f t="shared" si="66"/>
        <v>82</v>
      </c>
      <c r="AB372" s="12">
        <f t="shared" si="72"/>
        <v>2.2162162162162162</v>
      </c>
      <c r="AC372" s="13">
        <f t="shared" si="67"/>
        <v>1.8222222222222222</v>
      </c>
      <c r="AE372" s="19">
        <f t="shared" si="68"/>
        <v>0.45121951219512196</v>
      </c>
      <c r="AF372" s="19">
        <f t="shared" si="69"/>
        <v>0.54878048780487809</v>
      </c>
      <c r="AM372" s="9"/>
      <c r="AN372" s="5">
        <v>2019</v>
      </c>
      <c r="AO372" s="6">
        <f ca="1">SUMIF($D$2:$D$363,2019,AN$2:AN$363)</f>
        <v>12</v>
      </c>
      <c r="AP372" s="6">
        <f ca="1">SUMIF($D$2:$D$363,2019,AO$2:AO$363)</f>
        <v>8</v>
      </c>
      <c r="AQ372" s="6">
        <f ca="1">SUMIF($D$2:$D$363,2019,AQ$2:AQ$363)</f>
        <v>40</v>
      </c>
      <c r="AR372" s="6">
        <f t="shared" ca="1" si="73"/>
        <v>60</v>
      </c>
      <c r="AS372" s="26">
        <f t="shared" ca="1" si="74"/>
        <v>0.2</v>
      </c>
      <c r="AT372" s="26">
        <f t="shared" ca="1" si="70"/>
        <v>0.13333333333333333</v>
      </c>
      <c r="AU372" s="26">
        <f t="shared" ca="1" si="70"/>
        <v>0.66666666666666663</v>
      </c>
    </row>
    <row r="373" spans="1:47" ht="15" thickBot="1" x14ac:dyDescent="0.35">
      <c r="W373" s="10"/>
      <c r="X373" s="18">
        <v>2021</v>
      </c>
      <c r="Y373" s="11">
        <f>SUMIF(D2:D363,2021,AI2:AI363)</f>
        <v>61</v>
      </c>
      <c r="Z373" s="11">
        <f>SUMIF(D2:D363,2021,AJ2:AJ363)</f>
        <v>46</v>
      </c>
      <c r="AA373" s="11">
        <f t="shared" si="66"/>
        <v>107</v>
      </c>
      <c r="AB373" s="14">
        <f t="shared" si="72"/>
        <v>1.7540983606557377</v>
      </c>
      <c r="AC373" s="15">
        <f t="shared" si="67"/>
        <v>2.3260869565217392</v>
      </c>
      <c r="AE373" s="19">
        <f t="shared" si="68"/>
        <v>0.57009345794392519</v>
      </c>
      <c r="AF373" s="19">
        <f t="shared" si="69"/>
        <v>0.42990654205607476</v>
      </c>
      <c r="AM373" s="9"/>
      <c r="AN373" s="5">
        <v>2020</v>
      </c>
      <c r="AO373" s="6">
        <f ca="1">SUMIF($D$2:$D$363,2020,AN$2:AN$363)</f>
        <v>9</v>
      </c>
      <c r="AP373" s="6">
        <f ca="1">SUMIF($D$2:$D$363,2020,AO$2:AO$363)</f>
        <v>14</v>
      </c>
      <c r="AQ373" s="6">
        <f ca="1">SUMIF($D$2:$D$363,2020,AQ$2:AQ$363)</f>
        <v>40</v>
      </c>
      <c r="AR373" s="6">
        <f t="shared" ca="1" si="73"/>
        <v>63</v>
      </c>
      <c r="AS373" s="26">
        <f t="shared" ca="1" si="74"/>
        <v>0.14285714285714285</v>
      </c>
      <c r="AT373" s="26">
        <f t="shared" ca="1" si="70"/>
        <v>0.22222222222222221</v>
      </c>
      <c r="AU373" s="26">
        <f t="shared" ca="1" si="70"/>
        <v>0.63492063492063489</v>
      </c>
    </row>
    <row r="374" spans="1:47" ht="15" thickBot="1" x14ac:dyDescent="0.35">
      <c r="AM374" s="10"/>
      <c r="AN374" s="18">
        <v>2021</v>
      </c>
      <c r="AO374" s="11">
        <f ca="1">SUMIF($D$2:$D$363,2021,AN$2:AN$363)</f>
        <v>3</v>
      </c>
      <c r="AP374" s="11">
        <f ca="1">SUMIF($D$2:$D$363,2021,AO$2:AO$363)</f>
        <v>4</v>
      </c>
      <c r="AQ374" s="11">
        <f ca="1">SUMIF($D$2:$D$363,2021,AQ$2:AQ$363)</f>
        <v>43</v>
      </c>
      <c r="AR374" s="11">
        <f t="shared" ca="1" si="73"/>
        <v>50</v>
      </c>
      <c r="AS374" s="26">
        <f t="shared" ca="1" si="74"/>
        <v>0.06</v>
      </c>
      <c r="AT374" s="26">
        <f t="shared" ca="1" si="70"/>
        <v>0.08</v>
      </c>
      <c r="AU374" s="26">
        <f t="shared" ca="1" si="70"/>
        <v>0.86</v>
      </c>
    </row>
    <row r="375" spans="1:47" x14ac:dyDescent="0.3">
      <c r="AA375">
        <f>SUM(AA367:AA373)</f>
        <v>591</v>
      </c>
    </row>
    <row r="376" spans="1:47" x14ac:dyDescent="0.3">
      <c r="F376" s="51" t="s">
        <v>2232</v>
      </c>
      <c r="G376" s="51"/>
    </row>
    <row r="378" spans="1:47" x14ac:dyDescent="0.3">
      <c r="A378" s="1" t="s">
        <v>3</v>
      </c>
      <c r="B378" t="str">
        <f>$AN1</f>
        <v xml:space="preserve">все ж </v>
      </c>
      <c r="C378" t="str">
        <f>$AO1</f>
        <v>все м</v>
      </c>
      <c r="D378" t="str">
        <f>$AQ1</f>
        <v>смешанный</v>
      </c>
    </row>
    <row r="379" spans="1:47" x14ac:dyDescent="0.3">
      <c r="A379">
        <v>97</v>
      </c>
      <c r="B379">
        <f t="shared" ref="B379:B442" ca="1" si="76">$AN2</f>
        <v>0</v>
      </c>
      <c r="C379">
        <f t="shared" ref="C379:C442" ca="1" si="77">$AO2</f>
        <v>0</v>
      </c>
      <c r="D379">
        <f t="shared" ref="D379:D442" ca="1" si="78">$AQ2</f>
        <v>1</v>
      </c>
    </row>
    <row r="380" spans="1:47" ht="15" thickBot="1" x14ac:dyDescent="0.35">
      <c r="A380">
        <v>74</v>
      </c>
      <c r="B380">
        <f t="shared" ca="1" si="76"/>
        <v>0</v>
      </c>
      <c r="C380">
        <f t="shared" ca="1" si="77"/>
        <v>0</v>
      </c>
      <c r="D380">
        <f t="shared" ca="1" si="78"/>
        <v>1</v>
      </c>
    </row>
    <row r="381" spans="1:47" x14ac:dyDescent="0.3">
      <c r="A381">
        <v>45</v>
      </c>
      <c r="B381">
        <f t="shared" ca="1" si="76"/>
        <v>0</v>
      </c>
      <c r="C381">
        <f t="shared" ca="1" si="77"/>
        <v>1</v>
      </c>
      <c r="D381">
        <f t="shared" ca="1" si="78"/>
        <v>0</v>
      </c>
      <c r="F381" s="32"/>
      <c r="G381" s="32" t="s">
        <v>2209</v>
      </c>
      <c r="H381" s="32" t="s">
        <v>2210</v>
      </c>
      <c r="I381" s="32" t="s">
        <v>2211</v>
      </c>
      <c r="J381" s="32" t="s">
        <v>2212</v>
      </c>
    </row>
    <row r="382" spans="1:47" x14ac:dyDescent="0.3">
      <c r="A382">
        <v>37</v>
      </c>
      <c r="B382">
        <f t="shared" ca="1" si="76"/>
        <v>0</v>
      </c>
      <c r="C382">
        <f t="shared" ca="1" si="77"/>
        <v>1</v>
      </c>
      <c r="D382">
        <f t="shared" ca="1" si="78"/>
        <v>0</v>
      </c>
      <c r="F382" s="30" t="s">
        <v>2209</v>
      </c>
      <c r="G382" s="33">
        <v>1</v>
      </c>
      <c r="H382" s="33"/>
      <c r="I382" s="33"/>
      <c r="J382" s="33"/>
    </row>
    <row r="383" spans="1:47" x14ac:dyDescent="0.3">
      <c r="A383">
        <v>35</v>
      </c>
      <c r="B383">
        <f t="shared" ca="1" si="76"/>
        <v>0</v>
      </c>
      <c r="C383">
        <f t="shared" ca="1" si="77"/>
        <v>0</v>
      </c>
      <c r="D383">
        <f t="shared" ca="1" si="78"/>
        <v>1</v>
      </c>
      <c r="F383" s="30" t="s">
        <v>2210</v>
      </c>
      <c r="G383" s="33">
        <v>6.9944194115663424E-2</v>
      </c>
      <c r="H383" s="33">
        <v>1</v>
      </c>
      <c r="I383" s="33"/>
      <c r="J383" s="33"/>
    </row>
    <row r="384" spans="1:47" x14ac:dyDescent="0.3">
      <c r="A384">
        <v>33</v>
      </c>
      <c r="B384">
        <f t="shared" ca="1" si="76"/>
        <v>0</v>
      </c>
      <c r="C384">
        <f t="shared" ca="1" si="77"/>
        <v>1</v>
      </c>
      <c r="D384">
        <f t="shared" ca="1" si="78"/>
        <v>0</v>
      </c>
      <c r="F384" s="30" t="s">
        <v>2211</v>
      </c>
      <c r="G384" s="33">
        <v>7.1500072791254851E-2</v>
      </c>
      <c r="H384" s="33">
        <v>-0.17717073846175316</v>
      </c>
      <c r="I384" s="33">
        <v>1</v>
      </c>
      <c r="J384" s="33"/>
    </row>
    <row r="385" spans="1:41" ht="15" thickBot="1" x14ac:dyDescent="0.35">
      <c r="A385">
        <v>28</v>
      </c>
      <c r="B385">
        <f t="shared" ca="1" si="76"/>
        <v>0</v>
      </c>
      <c r="C385">
        <f t="shared" ca="1" si="77"/>
        <v>1</v>
      </c>
      <c r="D385">
        <f t="shared" ca="1" si="78"/>
        <v>0</v>
      </c>
      <c r="F385" s="31" t="s">
        <v>2212</v>
      </c>
      <c r="G385" s="34">
        <v>-0.1102355154230841</v>
      </c>
      <c r="H385" s="34">
        <v>-0.65174890754349635</v>
      </c>
      <c r="I385" s="34">
        <v>-0.63096563542470563</v>
      </c>
      <c r="J385" s="34">
        <v>1</v>
      </c>
    </row>
    <row r="386" spans="1:41" x14ac:dyDescent="0.3">
      <c r="A386">
        <v>26</v>
      </c>
      <c r="B386">
        <f t="shared" ca="1" si="76"/>
        <v>0</v>
      </c>
      <c r="C386">
        <f t="shared" ca="1" si="77"/>
        <v>0</v>
      </c>
      <c r="D386">
        <f t="shared" ca="1" si="78"/>
        <v>1</v>
      </c>
    </row>
    <row r="387" spans="1:41" x14ac:dyDescent="0.3">
      <c r="A387">
        <v>25</v>
      </c>
      <c r="B387">
        <f t="shared" ca="1" si="76"/>
        <v>0</v>
      </c>
      <c r="C387">
        <f t="shared" ca="1" si="77"/>
        <v>0</v>
      </c>
      <c r="D387">
        <f t="shared" ca="1" si="78"/>
        <v>1</v>
      </c>
    </row>
    <row r="388" spans="1:41" x14ac:dyDescent="0.3">
      <c r="A388">
        <v>25</v>
      </c>
      <c r="B388">
        <f t="shared" ca="1" si="76"/>
        <v>1</v>
      </c>
      <c r="C388">
        <f t="shared" ca="1" si="77"/>
        <v>0</v>
      </c>
      <c r="D388">
        <f t="shared" ca="1" si="78"/>
        <v>0</v>
      </c>
    </row>
    <row r="389" spans="1:41" x14ac:dyDescent="0.3">
      <c r="A389">
        <v>25</v>
      </c>
      <c r="B389">
        <f t="shared" ca="1" si="76"/>
        <v>0</v>
      </c>
      <c r="C389">
        <f t="shared" ca="1" si="77"/>
        <v>0</v>
      </c>
      <c r="D389">
        <f t="shared" ca="1" si="78"/>
        <v>1</v>
      </c>
    </row>
    <row r="390" spans="1:41" x14ac:dyDescent="0.3">
      <c r="A390">
        <v>24</v>
      </c>
      <c r="B390">
        <f t="shared" ca="1" si="76"/>
        <v>0</v>
      </c>
      <c r="C390">
        <f t="shared" ca="1" si="77"/>
        <v>0</v>
      </c>
      <c r="D390">
        <f t="shared" ca="1" si="78"/>
        <v>1</v>
      </c>
    </row>
    <row r="391" spans="1:41" x14ac:dyDescent="0.3">
      <c r="A391">
        <v>24</v>
      </c>
      <c r="B391">
        <f t="shared" ca="1" si="76"/>
        <v>0</v>
      </c>
      <c r="C391">
        <f t="shared" ca="1" si="77"/>
        <v>0</v>
      </c>
      <c r="D391">
        <f t="shared" ca="1" si="78"/>
        <v>1</v>
      </c>
    </row>
    <row r="392" spans="1:41" x14ac:dyDescent="0.3">
      <c r="A392">
        <v>23</v>
      </c>
      <c r="B392">
        <f t="shared" ca="1" si="76"/>
        <v>0</v>
      </c>
      <c r="C392">
        <f t="shared" ca="1" si="77"/>
        <v>0</v>
      </c>
      <c r="D392">
        <f t="shared" ca="1" si="78"/>
        <v>1</v>
      </c>
    </row>
    <row r="393" spans="1:41" ht="15" thickBot="1" x14ac:dyDescent="0.35">
      <c r="A393">
        <v>23</v>
      </c>
      <c r="B393">
        <f t="shared" ca="1" si="76"/>
        <v>1</v>
      </c>
      <c r="C393">
        <f t="shared" ca="1" si="77"/>
        <v>0</v>
      </c>
      <c r="D393">
        <f t="shared" ca="1" si="78"/>
        <v>0</v>
      </c>
    </row>
    <row r="394" spans="1:41" x14ac:dyDescent="0.3">
      <c r="A394">
        <v>21</v>
      </c>
      <c r="B394">
        <f t="shared" ca="1" si="76"/>
        <v>1</v>
      </c>
      <c r="C394">
        <f t="shared" ca="1" si="77"/>
        <v>0</v>
      </c>
      <c r="D394">
        <f t="shared" ca="1" si="78"/>
        <v>0</v>
      </c>
      <c r="I394" s="39"/>
      <c r="J394" s="40"/>
      <c r="K394" s="50" t="s">
        <v>2221</v>
      </c>
      <c r="L394" s="52"/>
      <c r="M394" s="52"/>
      <c r="N394" s="40"/>
      <c r="O394" s="40"/>
      <c r="P394" s="40"/>
      <c r="Q394" s="40"/>
      <c r="R394" s="40"/>
      <c r="S394" s="40"/>
      <c r="T394" s="40"/>
      <c r="U394" s="40"/>
      <c r="V394" s="40"/>
      <c r="W394" s="40"/>
      <c r="X394" s="40"/>
      <c r="Y394" s="40"/>
      <c r="Z394" s="40"/>
      <c r="AA394" s="41"/>
    </row>
    <row r="395" spans="1:41" x14ac:dyDescent="0.3">
      <c r="A395">
        <v>20</v>
      </c>
      <c r="B395">
        <f t="shared" ca="1" si="76"/>
        <v>0</v>
      </c>
      <c r="C395">
        <f t="shared" ca="1" si="77"/>
        <v>0</v>
      </c>
      <c r="D395">
        <f t="shared" ca="1" si="78"/>
        <v>1</v>
      </c>
      <c r="I395" s="42"/>
      <c r="J395" s="43"/>
      <c r="K395" s="43"/>
      <c r="L395" s="43"/>
      <c r="M395" s="43"/>
      <c r="N395" s="43"/>
      <c r="O395" s="43"/>
      <c r="P395" s="43"/>
      <c r="Q395" s="43"/>
      <c r="R395" s="43"/>
      <c r="S395" s="43"/>
      <c r="T395" s="43"/>
      <c r="U395" s="43"/>
      <c r="V395" s="43"/>
      <c r="W395" s="43"/>
      <c r="X395" s="43"/>
      <c r="Y395" s="43"/>
      <c r="Z395" s="43"/>
      <c r="AA395" s="44"/>
    </row>
    <row r="396" spans="1:41" ht="15" thickBot="1" x14ac:dyDescent="0.35">
      <c r="A396">
        <v>18</v>
      </c>
      <c r="B396">
        <f t="shared" ca="1" si="76"/>
        <v>0</v>
      </c>
      <c r="C396">
        <f t="shared" ca="1" si="77"/>
        <v>0</v>
      </c>
      <c r="D396">
        <f t="shared" ca="1" si="78"/>
        <v>1</v>
      </c>
      <c r="I396" s="42"/>
      <c r="J396" s="43"/>
      <c r="K396" s="43"/>
      <c r="L396" s="43" t="s">
        <v>2213</v>
      </c>
      <c r="M396" s="43"/>
      <c r="N396" s="43"/>
      <c r="O396" s="43"/>
      <c r="P396" s="43"/>
      <c r="Q396" s="43"/>
      <c r="R396" s="43"/>
      <c r="S396" s="43"/>
      <c r="T396" s="43"/>
      <c r="U396" s="43"/>
      <c r="V396" s="43"/>
      <c r="W396" s="43"/>
      <c r="X396" s="43"/>
      <c r="Y396" s="43"/>
      <c r="Z396" s="43"/>
      <c r="AA396" s="44"/>
      <c r="AG396" t="s">
        <v>2192</v>
      </c>
    </row>
    <row r="397" spans="1:41" x14ac:dyDescent="0.3">
      <c r="A397">
        <v>17</v>
      </c>
      <c r="B397">
        <f t="shared" ca="1" si="76"/>
        <v>0</v>
      </c>
      <c r="C397">
        <f t="shared" ca="1" si="77"/>
        <v>0</v>
      </c>
      <c r="D397">
        <f t="shared" ca="1" si="78"/>
        <v>1</v>
      </c>
      <c r="I397" s="42"/>
      <c r="J397" s="43"/>
      <c r="K397" s="43" t="s">
        <v>2214</v>
      </c>
      <c r="L397" s="45">
        <f ca="1">SUM(AR2:AR363)/COUNTIF(AR2:AR363, "&lt;&gt;0")</f>
        <v>0.41290199222700147</v>
      </c>
      <c r="M397" s="43"/>
      <c r="N397" s="43"/>
      <c r="O397" s="43"/>
      <c r="P397" s="43"/>
      <c r="Q397" s="43"/>
      <c r="R397" s="43"/>
      <c r="S397" s="43"/>
      <c r="T397" s="43"/>
      <c r="U397" s="43"/>
      <c r="V397" s="43"/>
      <c r="W397" s="43"/>
      <c r="X397" s="43"/>
      <c r="Y397" s="43"/>
      <c r="Z397" s="43"/>
      <c r="AA397" s="44"/>
      <c r="AD397" s="7" t="s">
        <v>2171</v>
      </c>
      <c r="AE397" s="8"/>
      <c r="AF397" s="16" t="s">
        <v>2172</v>
      </c>
      <c r="AG397" s="16" t="s">
        <v>2173</v>
      </c>
      <c r="AH397" s="24" t="s">
        <v>2187</v>
      </c>
      <c r="AI397" s="16" t="s">
        <v>2177</v>
      </c>
      <c r="AJ397" s="24" t="s">
        <v>2197</v>
      </c>
      <c r="AK397" s="24" t="s">
        <v>2198</v>
      </c>
      <c r="AL397" s="24" t="s">
        <v>2199</v>
      </c>
      <c r="AM397" s="29" t="s">
        <v>2201</v>
      </c>
      <c r="AN397" s="29" t="s">
        <v>2202</v>
      </c>
      <c r="AO397" s="29" t="s">
        <v>2203</v>
      </c>
    </row>
    <row r="398" spans="1:41" x14ac:dyDescent="0.3">
      <c r="A398">
        <v>16</v>
      </c>
      <c r="B398">
        <f t="shared" ca="1" si="76"/>
        <v>1</v>
      </c>
      <c r="C398">
        <f t="shared" ca="1" si="77"/>
        <v>0</v>
      </c>
      <c r="D398">
        <f t="shared" ca="1" si="78"/>
        <v>0</v>
      </c>
      <c r="I398" s="42"/>
      <c r="J398" s="43"/>
      <c r="K398" s="43"/>
      <c r="L398" s="43"/>
      <c r="M398" s="43"/>
      <c r="N398" s="43"/>
      <c r="O398" s="43"/>
      <c r="P398" s="43"/>
      <c r="Q398" s="43"/>
      <c r="R398" s="43"/>
      <c r="S398" s="43"/>
      <c r="T398" s="43"/>
      <c r="U398" s="43"/>
      <c r="V398" s="43"/>
      <c r="W398" s="43"/>
      <c r="X398" s="43"/>
      <c r="Y398" s="43"/>
      <c r="Z398" s="43"/>
      <c r="AA398" s="44"/>
      <c r="AD398" s="9"/>
      <c r="AE398" s="5">
        <v>2015</v>
      </c>
      <c r="AF398" s="6">
        <f ca="1">SUMIFS($E$2:$E$363,AN$2:AN$363,1,$D$2:$D$363,2015)</f>
        <v>24</v>
      </c>
      <c r="AG398" s="6">
        <f ca="1">SUMIFS($E$2:$E$363,AO$2:AO$363,1,$D$2:$D$363,2015)</f>
        <v>29</v>
      </c>
      <c r="AH398" s="6">
        <f ca="1">SUMIFS($E$2:$E$363,AQ$2:AQ$363,1,$D$2:$D$363,2015)</f>
        <v>44</v>
      </c>
      <c r="AI398" s="6">
        <f t="shared" ref="AI398:AI404" ca="1" si="79">SUM(AF398:AH398)</f>
        <v>97</v>
      </c>
      <c r="AJ398" s="27">
        <f t="shared" ref="AJ398:AL404" ca="1" si="80">$AI$398/AF398</f>
        <v>4.041666666666667</v>
      </c>
      <c r="AK398" s="27">
        <f t="shared" ca="1" si="80"/>
        <v>3.3448275862068964</v>
      </c>
      <c r="AL398" s="27">
        <f t="shared" ca="1" si="80"/>
        <v>2.2045454545454546</v>
      </c>
      <c r="AM398">
        <f t="array" aca="1" ref="AM398" ca="1">MEDIAN(IF($D$2:$D$363=2015, IF(AN$2:AN$363=1, $E$2:$E$363)))</f>
        <v>5</v>
      </c>
      <c r="AN398">
        <f t="array" aca="1" ref="AN398" ca="1">MEDIAN(IF($D$2:$D$363=2015, IF(AO$2:AO$363=1, $E$2:$E$363)))</f>
        <v>0</v>
      </c>
      <c r="AO398">
        <f t="array" aca="1" ref="AO398" ca="1">MEDIAN(IF($D$2:$D$363=2015, IF(AQ$2:AQ$363=1, $E$2:$E$363)))</f>
        <v>0</v>
      </c>
    </row>
    <row r="399" spans="1:41" ht="15" thickBot="1" x14ac:dyDescent="0.35">
      <c r="A399">
        <v>15</v>
      </c>
      <c r="B399">
        <f t="shared" ca="1" si="76"/>
        <v>0</v>
      </c>
      <c r="C399">
        <f t="shared" ca="1" si="77"/>
        <v>0</v>
      </c>
      <c r="D399">
        <f t="shared" ca="1" si="78"/>
        <v>1</v>
      </c>
      <c r="I399" s="42"/>
      <c r="J399" s="43"/>
      <c r="K399" s="43"/>
      <c r="L399" s="43"/>
      <c r="M399" s="43"/>
      <c r="N399" s="43"/>
      <c r="O399" s="43"/>
      <c r="P399" s="43"/>
      <c r="Q399" s="43"/>
      <c r="R399" s="43"/>
      <c r="S399" s="43"/>
      <c r="T399" s="43"/>
      <c r="U399" s="43"/>
      <c r="V399" s="43"/>
      <c r="W399" s="43"/>
      <c r="X399" s="43"/>
      <c r="Y399" s="43"/>
      <c r="Z399" s="43"/>
      <c r="AA399" s="44"/>
      <c r="AD399" s="9"/>
      <c r="AE399" s="5">
        <v>2016</v>
      </c>
      <c r="AF399" s="6">
        <f ca="1">SUMIFS($E$2:$E$363,AN$2:AN$363,1,$D$2:$D$363,2016)</f>
        <v>21</v>
      </c>
      <c r="AG399" s="6">
        <f ca="1">SUMIFS($E$2:$E$363,AO$2:AO$363,1,$D$2:$D$363,2016)</f>
        <v>43</v>
      </c>
      <c r="AH399" s="6">
        <f ca="1">SUMIFS($E$2:$E$363,AP$2:AP$363,1,$D$2:$D$363,2016)</f>
        <v>138</v>
      </c>
      <c r="AI399" s="6">
        <f t="shared" ca="1" si="79"/>
        <v>202</v>
      </c>
      <c r="AJ399" s="27">
        <f t="shared" ca="1" si="80"/>
        <v>4.6190476190476186</v>
      </c>
      <c r="AK399" s="27">
        <f t="shared" ca="1" si="80"/>
        <v>2.2558139534883721</v>
      </c>
      <c r="AL399" s="27">
        <f t="shared" ca="1" si="80"/>
        <v>0.70289855072463769</v>
      </c>
      <c r="AM399">
        <f t="array" aca="1" ref="AM399" ca="1">MEDIAN(IF($D$2:$D$363=2016, IF(AN$2:AN$363=1, $E$2:$E$363)))</f>
        <v>1</v>
      </c>
      <c r="AN399">
        <f t="array" aca="1" ref="AN399" ca="1">MEDIAN(IF($D$2:$D$363=2016, IF(AO$2:AO$363=1, $E$2:$E$363)))</f>
        <v>21.5</v>
      </c>
      <c r="AO399">
        <f t="array" aca="1" ref="AO399" ca="1">MEDIAN(IF($D$2:$D$363=2016, IF(AQ$2:AQ$363=1, $E$2:$E$363)))</f>
        <v>0</v>
      </c>
    </row>
    <row r="400" spans="1:41" x14ac:dyDescent="0.3">
      <c r="A400">
        <v>14</v>
      </c>
      <c r="B400">
        <f t="shared" ca="1" si="76"/>
        <v>1</v>
      </c>
      <c r="C400">
        <f t="shared" ca="1" si="77"/>
        <v>0</v>
      </c>
      <c r="D400">
        <f t="shared" ca="1" si="78"/>
        <v>0</v>
      </c>
      <c r="I400" s="42"/>
      <c r="J400" s="43"/>
      <c r="K400" s="35" t="s">
        <v>2215</v>
      </c>
      <c r="L400" s="38"/>
      <c r="M400" s="43"/>
      <c r="N400" s="43"/>
      <c r="O400" s="43"/>
      <c r="P400" s="43"/>
      <c r="Q400" s="43"/>
      <c r="R400" s="43"/>
      <c r="S400" s="43"/>
      <c r="T400" s="43"/>
      <c r="U400" s="43"/>
      <c r="V400" s="43"/>
      <c r="W400" s="43"/>
      <c r="X400" s="43"/>
      <c r="Y400" s="43"/>
      <c r="Z400" s="43"/>
      <c r="AA400" s="44"/>
      <c r="AD400" s="9"/>
      <c r="AE400" s="5">
        <v>2017</v>
      </c>
      <c r="AF400" s="6">
        <f ca="1">SUMIFS($E$2:$E$363,AN$2:AN$363,1,$D$2:$D$363,2017)</f>
        <v>106</v>
      </c>
      <c r="AG400" s="6">
        <f ca="1">SUMIFS($E$2:$E$363,AO$2:AO$363,1,$D$2:$D$363,2017)</f>
        <v>60</v>
      </c>
      <c r="AH400" s="6">
        <f ca="1">SUMIFS($E$2:$E$363,AP$2:AP$363,1,$D$2:$D$363,2017)</f>
        <v>108</v>
      </c>
      <c r="AI400" s="6">
        <f t="shared" ca="1" si="79"/>
        <v>274</v>
      </c>
      <c r="AJ400" s="27">
        <f t="shared" ca="1" si="80"/>
        <v>0.91509433962264153</v>
      </c>
      <c r="AK400" s="27">
        <f t="shared" ca="1" si="80"/>
        <v>1.6166666666666667</v>
      </c>
      <c r="AL400" s="27">
        <f t="shared" ca="1" si="80"/>
        <v>0.89814814814814814</v>
      </c>
      <c r="AM400">
        <f t="array" aca="1" ref="AM400" ca="1">MEDIAN(IF($D$2:$D$363=2017, IF(AN$2:AN$363=1, $E$2:$E$363)))</f>
        <v>5</v>
      </c>
      <c r="AN400">
        <f t="array" aca="1" ref="AN400" ca="1">MEDIAN(IF($D$2:$D$363=2017, IF(AO$2:AO$363=1, $E$2:$E$363)))</f>
        <v>4.5</v>
      </c>
      <c r="AO400">
        <f t="array" aca="1" ref="AO400" ca="1">MEDIAN(IF($D$2:$D$363=2017, IF(AQ$2:AQ$363=1, $E$2:$E$363)))</f>
        <v>0</v>
      </c>
    </row>
    <row r="401" spans="1:41" x14ac:dyDescent="0.3">
      <c r="A401">
        <v>14</v>
      </c>
      <c r="B401">
        <f t="shared" ca="1" si="76"/>
        <v>0</v>
      </c>
      <c r="C401">
        <f t="shared" ca="1" si="77"/>
        <v>0</v>
      </c>
      <c r="D401">
        <f t="shared" ca="1" si="78"/>
        <v>1</v>
      </c>
      <c r="I401" s="42"/>
      <c r="J401" s="43"/>
      <c r="K401" s="36">
        <v>2015</v>
      </c>
      <c r="L401" s="13">
        <f ca="1">SUMIF($D$2:$D$363,2015,$AR$2:$AR$363)/COUNTIFS($AR$2:$AR$363, "&lt;&gt;0", $D$2:$D$363, 2015)</f>
        <v>0.47540509259259256</v>
      </c>
      <c r="M401" s="43"/>
      <c r="N401" s="43"/>
      <c r="O401" s="43"/>
      <c r="P401" s="43"/>
      <c r="Q401" s="43"/>
      <c r="R401" s="43"/>
      <c r="S401" s="43"/>
      <c r="T401" s="43"/>
      <c r="U401" s="43"/>
      <c r="V401" s="43"/>
      <c r="W401" s="43"/>
      <c r="X401" s="43"/>
      <c r="Y401" s="43"/>
      <c r="Z401" s="43"/>
      <c r="AA401" s="44"/>
      <c r="AD401" s="9"/>
      <c r="AE401" s="5">
        <v>2018</v>
      </c>
      <c r="AF401" s="6">
        <f ca="1">SUMIFS($E$2:$E$363,AN$2:AN$363,1,$D$2:$D$363,2018)</f>
        <v>27</v>
      </c>
      <c r="AG401" s="6">
        <f ca="1">SUMIFS($E$2:$E$363,AO$2:AO$363,1,$D$2:$D$363,2018)</f>
        <v>44</v>
      </c>
      <c r="AH401" s="6">
        <f ca="1">SUMIFS($E$2:$E$363,AP$2:AP$363,1,$D$2:$D$363,2018)</f>
        <v>2</v>
      </c>
      <c r="AI401" s="6">
        <f t="shared" ca="1" si="79"/>
        <v>73</v>
      </c>
      <c r="AJ401" s="27">
        <f t="shared" ca="1" si="80"/>
        <v>3.5925925925925926</v>
      </c>
      <c r="AK401" s="27">
        <f t="shared" ca="1" si="80"/>
        <v>2.2045454545454546</v>
      </c>
      <c r="AL401" s="27">
        <f t="shared" ca="1" si="80"/>
        <v>48.5</v>
      </c>
      <c r="AM401">
        <f t="array" aca="1" ref="AM401" ca="1">MEDIAN(IF($D$2:$D$363=2018, IF(AN$2:AN$363=1, $E$2:$E$363)))</f>
        <v>4</v>
      </c>
      <c r="AN401">
        <f t="array" aca="1" ref="AN401" ca="1">MEDIAN(IF($D$2:$D$363=2018, IF(AO$2:AO$363=1, $E$2:$E$363)))</f>
        <v>2.5</v>
      </c>
      <c r="AO401">
        <f t="array" aca="1" ref="AO401" ca="1">MEDIAN(IF($D$2:$D$363=2018, IF(AQ$2:AQ$363=1, $E$2:$E$363)))</f>
        <v>0</v>
      </c>
    </row>
    <row r="402" spans="1:41" x14ac:dyDescent="0.3">
      <c r="A402">
        <v>14</v>
      </c>
      <c r="B402">
        <f t="shared" ca="1" si="76"/>
        <v>0</v>
      </c>
      <c r="C402">
        <f t="shared" ca="1" si="77"/>
        <v>1</v>
      </c>
      <c r="D402">
        <f t="shared" ca="1" si="78"/>
        <v>0</v>
      </c>
      <c r="I402" s="42"/>
      <c r="J402" s="43"/>
      <c r="K402" s="36">
        <v>2016</v>
      </c>
      <c r="L402" s="13">
        <f ca="1">SUMIF($D$2:$D$363,2016,$AR$2:$AR$363)/COUNTIFS($AR$2:$AR$363, "&lt;&gt;0", $D$2:$D$363, 2016)</f>
        <v>0.44307208994708991</v>
      </c>
      <c r="M402" s="43"/>
      <c r="N402" s="43"/>
      <c r="O402" s="43"/>
      <c r="P402" s="43"/>
      <c r="Q402" s="43"/>
      <c r="R402" s="43"/>
      <c r="S402" s="43"/>
      <c r="T402" s="43"/>
      <c r="U402" s="43"/>
      <c r="V402" s="43"/>
      <c r="W402" s="43"/>
      <c r="X402" s="43"/>
      <c r="Y402" s="43"/>
      <c r="Z402" s="43"/>
      <c r="AA402" s="44"/>
      <c r="AD402" s="9"/>
      <c r="AE402" s="5">
        <v>2019</v>
      </c>
      <c r="AF402" s="6">
        <f ca="1">SUMIFS($E$2:$E$363,AN$2:AN$363,1,$D$2:$D$363,2019)</f>
        <v>75</v>
      </c>
      <c r="AG402" s="6">
        <f ca="1">SUMIFS($E$2:$E$363,AO$2:AO$363,1,$D$2:$D$363,2019)</f>
        <v>60</v>
      </c>
      <c r="AH402" s="6">
        <f ca="1">SUMIFS($E$2:$E$363,AP$2:AP$363,1,$D$2:$D$363,2019)</f>
        <v>55</v>
      </c>
      <c r="AI402" s="6">
        <f t="shared" ca="1" si="79"/>
        <v>190</v>
      </c>
      <c r="AJ402" s="27">
        <f t="shared" ca="1" si="80"/>
        <v>1.2933333333333332</v>
      </c>
      <c r="AK402" s="27">
        <f t="shared" ca="1" si="80"/>
        <v>1.6166666666666667</v>
      </c>
      <c r="AL402" s="27">
        <f t="shared" ca="1" si="80"/>
        <v>1.7636363636363637</v>
      </c>
      <c r="AM402">
        <f t="array" aca="1" ref="AM402" ca="1">MEDIAN(IF($D$2:$D$363=2019, IF(AN$2:AN$363=1, $E$2:$E$363)))</f>
        <v>5</v>
      </c>
      <c r="AN402">
        <f t="array" aca="1" ref="AN402" ca="1">MEDIAN(IF($D$2:$D$363=2019, IF(AO$2:AO$363=1, $E$2:$E$363)))</f>
        <v>3</v>
      </c>
      <c r="AO402">
        <f t="array" aca="1" ref="AO402" ca="1">MEDIAN(IF($D$2:$D$363=2019, IF(AQ$2:AQ$363=1, $E$2:$E$363)))</f>
        <v>0</v>
      </c>
    </row>
    <row r="403" spans="1:41" x14ac:dyDescent="0.3">
      <c r="A403">
        <v>14</v>
      </c>
      <c r="B403">
        <f t="shared" ca="1" si="76"/>
        <v>1</v>
      </c>
      <c r="C403">
        <f t="shared" ca="1" si="77"/>
        <v>0</v>
      </c>
      <c r="D403">
        <f t="shared" ca="1" si="78"/>
        <v>0</v>
      </c>
      <c r="I403" s="42"/>
      <c r="J403" s="43"/>
      <c r="K403" s="36">
        <v>2017</v>
      </c>
      <c r="L403" s="13">
        <f ca="1">SUMIF($D$2:$D$363,2017,$AR$2:$AR$363)/COUNTIFS($AR$2:$AR$363, "&lt;&gt;0", $D$2:$D$363, 2017)</f>
        <v>0.42661769005847949</v>
      </c>
      <c r="M403" s="43"/>
      <c r="N403" s="43"/>
      <c r="O403" s="43"/>
      <c r="P403" s="43"/>
      <c r="Q403" s="43"/>
      <c r="R403" s="43"/>
      <c r="S403" s="43"/>
      <c r="T403" s="43"/>
      <c r="U403" s="43"/>
      <c r="V403" s="43"/>
      <c r="W403" s="43"/>
      <c r="X403" s="43"/>
      <c r="Y403" s="43"/>
      <c r="Z403" s="43"/>
      <c r="AA403" s="44"/>
      <c r="AD403" s="9"/>
      <c r="AE403" s="5">
        <v>2020</v>
      </c>
      <c r="AF403" s="6">
        <f ca="1">SUMIFS($E$2:$E$363,AN$2:AN$363,1,$D$2:$D$363,2020)</f>
        <v>21</v>
      </c>
      <c r="AG403" s="6">
        <f ca="1">SUMIFS($E$2:$E$363,AO$2:AO$363,1,$D$2:$D$363,2020)</f>
        <v>34</v>
      </c>
      <c r="AH403" s="6">
        <f ca="1">SUMIFS($E$2:$E$363,AP$2:AP$363,1,$D$2:$D$363,2020)</f>
        <v>38</v>
      </c>
      <c r="AI403" s="6">
        <f t="shared" ca="1" si="79"/>
        <v>93</v>
      </c>
      <c r="AJ403" s="27">
        <f t="shared" ca="1" si="80"/>
        <v>4.6190476190476186</v>
      </c>
      <c r="AK403" s="27">
        <f t="shared" ca="1" si="80"/>
        <v>2.8529411764705883</v>
      </c>
      <c r="AL403" s="27">
        <f t="shared" ca="1" si="80"/>
        <v>2.5526315789473686</v>
      </c>
      <c r="AM403">
        <f t="array" aca="1" ref="AM403" ca="1">MEDIAN(IF($D$2:$D$363=2020, IF(AN$2:AN$363=1, $E$2:$E$363)))</f>
        <v>1</v>
      </c>
      <c r="AN403">
        <f t="array" aca="1" ref="AN403" ca="1">MEDIAN(IF($D$2:$D$363=2020, IF(AO$2:AO$363=1, $E$2:$E$363)))</f>
        <v>3</v>
      </c>
      <c r="AO403">
        <f t="array" aca="1" ref="AO403" ca="1">MEDIAN(IF($D$2:$D$363=2020, IF(AQ$2:AQ$363=1, $E$2:$E$363)))</f>
        <v>0</v>
      </c>
    </row>
    <row r="404" spans="1:41" ht="15" thickBot="1" x14ac:dyDescent="0.35">
      <c r="A404">
        <v>14</v>
      </c>
      <c r="B404">
        <f t="shared" ca="1" si="76"/>
        <v>0</v>
      </c>
      <c r="C404">
        <f t="shared" ca="1" si="77"/>
        <v>0</v>
      </c>
      <c r="D404">
        <f t="shared" ca="1" si="78"/>
        <v>1</v>
      </c>
      <c r="I404" s="42"/>
      <c r="J404" s="43"/>
      <c r="K404" s="36">
        <v>2018</v>
      </c>
      <c r="L404" s="13">
        <f ca="1">SUMIF($D$2:$D$363,2018,$AR$2:$AR$363)/COUNTIFS($AR$2:$AR$363, "&lt;&gt;0", $D$2:$D$363, 2018)</f>
        <v>0.40339424951267056</v>
      </c>
      <c r="M404" s="43"/>
      <c r="N404" s="43"/>
      <c r="O404" s="43"/>
      <c r="P404" s="43"/>
      <c r="Q404" s="43"/>
      <c r="R404" s="43"/>
      <c r="S404" s="43"/>
      <c r="T404" s="43"/>
      <c r="U404" s="43"/>
      <c r="V404" s="43"/>
      <c r="W404" s="43"/>
      <c r="X404" s="43"/>
      <c r="Y404" s="43"/>
      <c r="Z404" s="43"/>
      <c r="AA404" s="44"/>
      <c r="AD404" s="10"/>
      <c r="AE404" s="18">
        <v>2021</v>
      </c>
      <c r="AF404" s="6">
        <f ca="1">SUMIFS($E$2:$E$363,AN$2:AN$363,1,$D$2:$D$363,2021)</f>
        <v>11</v>
      </c>
      <c r="AG404" s="6">
        <f ca="1">SUMIFS($E$2:$E$363,AO$2:AO$363,1,$D$2:$D$363,2021)</f>
        <v>4</v>
      </c>
      <c r="AH404" s="6">
        <f ca="1">SUMIFS($E$2:$E$363,AP$2:AP$363,1,$D$2:$D$363,2021)</f>
        <v>25</v>
      </c>
      <c r="AI404" s="11">
        <f t="shared" ca="1" si="79"/>
        <v>40</v>
      </c>
      <c r="AJ404" s="27">
        <f t="shared" ca="1" si="80"/>
        <v>8.8181818181818183</v>
      </c>
      <c r="AK404" s="27">
        <f t="shared" ca="1" si="80"/>
        <v>24.25</v>
      </c>
      <c r="AL404" s="27">
        <f t="shared" ca="1" si="80"/>
        <v>3.88</v>
      </c>
      <c r="AM404">
        <f t="array" aca="1" ref="AM404" ca="1">MEDIAN(IF($D$2:$D$363=2021, IF(AN$2:AN$363=1, $E$2:$E$363)))</f>
        <v>4</v>
      </c>
      <c r="AN404">
        <f t="array" aca="1" ref="AN404" ca="1">MEDIAN(IF($D$2:$D$363=2021, IF(AO$2:AO$363=1, $E$2:$E$363)))</f>
        <v>0.5</v>
      </c>
      <c r="AO404">
        <f t="array" aca="1" ref="AO404" ca="1">MEDIAN(IF($D$2:$D$363=2021, IF(AQ$2:AQ$363=1, $E$2:$E$363)))</f>
        <v>0</v>
      </c>
    </row>
    <row r="405" spans="1:41" x14ac:dyDescent="0.3">
      <c r="A405">
        <v>13</v>
      </c>
      <c r="B405">
        <f t="shared" ca="1" si="76"/>
        <v>0</v>
      </c>
      <c r="C405">
        <f t="shared" ca="1" si="77"/>
        <v>0</v>
      </c>
      <c r="D405">
        <f t="shared" ca="1" si="78"/>
        <v>1</v>
      </c>
      <c r="I405" s="42"/>
      <c r="J405" s="43"/>
      <c r="K405" s="36">
        <v>2019</v>
      </c>
      <c r="L405" s="13">
        <f ca="1">SUMIF($D$2:$D$363,2019,$AR$2:$AR$363)/COUNTIFS($AR$2:$AR$363, "&lt;&gt;0", $D$2:$D$363, 2019)</f>
        <v>0.40717492351815487</v>
      </c>
      <c r="M405" s="43"/>
      <c r="N405" s="43"/>
      <c r="O405" s="43"/>
      <c r="P405" s="43"/>
      <c r="Q405" s="43"/>
      <c r="R405" s="43"/>
      <c r="S405" s="43"/>
      <c r="T405" s="43"/>
      <c r="U405" s="43"/>
      <c r="V405" s="43"/>
      <c r="W405" s="43"/>
      <c r="X405" s="43"/>
      <c r="Y405" s="43"/>
      <c r="Z405" s="43"/>
      <c r="AA405" s="44"/>
    </row>
    <row r="406" spans="1:41" x14ac:dyDescent="0.3">
      <c r="A406">
        <v>13</v>
      </c>
      <c r="B406">
        <f t="shared" ca="1" si="76"/>
        <v>0</v>
      </c>
      <c r="C406">
        <f t="shared" ca="1" si="77"/>
        <v>0</v>
      </c>
      <c r="D406">
        <f t="shared" ca="1" si="78"/>
        <v>1</v>
      </c>
      <c r="I406" s="42"/>
      <c r="J406" s="43"/>
      <c r="K406" s="36">
        <v>2020</v>
      </c>
      <c r="L406" s="13">
        <f ca="1">SUMIF($D$2:$D$363,2020,$AR$2:$AR$363)/COUNTIFS($AR$2:$AR$363, "&lt;&gt;0", $D$2:$D$363, 2020)</f>
        <v>0.54372228219345498</v>
      </c>
      <c r="M406" s="43"/>
      <c r="N406" s="43"/>
      <c r="O406" s="43"/>
      <c r="P406" s="43"/>
      <c r="Q406" s="43"/>
      <c r="R406" s="43"/>
      <c r="S406" s="43"/>
      <c r="T406" s="43"/>
      <c r="U406" s="43"/>
      <c r="V406" s="43"/>
      <c r="W406" s="43"/>
      <c r="X406" s="43"/>
      <c r="Y406" s="43"/>
      <c r="Z406" s="43"/>
      <c r="AA406" s="44"/>
      <c r="AF406" t="s">
        <v>2172</v>
      </c>
      <c r="AG406" t="s">
        <v>2173</v>
      </c>
      <c r="AH406" t="s">
        <v>2196</v>
      </c>
      <c r="AI406" t="s">
        <v>2195</v>
      </c>
    </row>
    <row r="407" spans="1:41" ht="15" thickBot="1" x14ac:dyDescent="0.35">
      <c r="A407">
        <v>13</v>
      </c>
      <c r="B407">
        <f t="shared" ca="1" si="76"/>
        <v>0</v>
      </c>
      <c r="C407">
        <f t="shared" ca="1" si="77"/>
        <v>0</v>
      </c>
      <c r="D407">
        <f t="shared" ca="1" si="78"/>
        <v>1</v>
      </c>
      <c r="I407" s="42"/>
      <c r="J407" s="43"/>
      <c r="K407" s="37">
        <v>2021</v>
      </c>
      <c r="L407" s="13">
        <f ca="1">SUMIF($D$2:$D$363,2021,$AR$2:$AR$363)/COUNTIFS($AR$2:$AR$363, "&lt;&gt;0", $D$2:$D$363, 2021)</f>
        <v>0.24930597754718886</v>
      </c>
      <c r="M407" s="43"/>
      <c r="N407" s="43"/>
      <c r="O407" s="43"/>
      <c r="P407" s="43"/>
      <c r="Q407" s="43"/>
      <c r="R407" s="43"/>
      <c r="S407" s="43"/>
      <c r="T407" s="43"/>
      <c r="U407" s="43"/>
      <c r="V407" s="43"/>
      <c r="W407" s="43"/>
      <c r="X407" s="43"/>
      <c r="Y407" s="43"/>
      <c r="Z407" s="43"/>
      <c r="AA407" s="44"/>
      <c r="AD407" t="s">
        <v>2194</v>
      </c>
      <c r="AF407" s="28">
        <f ca="1">$E$364/AN$366</f>
        <v>4.6350877192982454</v>
      </c>
      <c r="AG407" s="28">
        <f ca="1">$E$364/AO$366</f>
        <v>4.8211678832116789</v>
      </c>
      <c r="AH407" s="28">
        <f ca="1">$E$364/AP$366</f>
        <v>3.6092896174863389</v>
      </c>
      <c r="AI407" s="28">
        <f ca="1">$E$364/AQ$366</f>
        <v>1.7335958005249343</v>
      </c>
    </row>
    <row r="408" spans="1:41" x14ac:dyDescent="0.3">
      <c r="A408">
        <v>13</v>
      </c>
      <c r="B408">
        <f t="shared" ca="1" si="76"/>
        <v>1</v>
      </c>
      <c r="C408">
        <f t="shared" ca="1" si="77"/>
        <v>0</v>
      </c>
      <c r="D408">
        <f t="shared" ca="1" si="78"/>
        <v>0</v>
      </c>
      <c r="I408" s="42"/>
      <c r="J408" s="43"/>
      <c r="K408" s="43"/>
      <c r="L408" s="43"/>
      <c r="M408" s="43"/>
      <c r="N408" s="43"/>
      <c r="O408" s="43"/>
      <c r="P408" s="43"/>
      <c r="Q408" s="43"/>
      <c r="R408" s="43"/>
      <c r="S408" s="43"/>
      <c r="T408" s="43"/>
      <c r="U408" s="43"/>
      <c r="V408" s="43"/>
      <c r="W408" s="43"/>
      <c r="X408" s="43"/>
      <c r="Y408" s="43"/>
      <c r="Z408" s="43"/>
      <c r="AA408" s="44"/>
      <c r="AD408" t="s">
        <v>2200</v>
      </c>
      <c r="AF408">
        <f t="array" aca="1" ref="AF408" ca="1">MEDIAN(IF(AN$2:AN$363=1, $E$2:$E$363))</f>
        <v>3</v>
      </c>
      <c r="AG408">
        <f t="array" aca="1" ref="AG408" ca="1">MEDIAN(IF(AO$2:AO$363=1, $E$2:$E$363))</f>
        <v>3</v>
      </c>
      <c r="AH408">
        <f t="array" aca="1" ref="AH408" ca="1">MEDIAN(IF(AP$2:AP$363=1, $E$2:$E$363))</f>
        <v>0</v>
      </c>
      <c r="AI408">
        <f t="array" aca="1" ref="AI408" ca="1">MEDIAN(IF(AQ$2:AQ$363=1, $E$2:$E$363))</f>
        <v>0</v>
      </c>
    </row>
    <row r="409" spans="1:41" x14ac:dyDescent="0.3">
      <c r="A409">
        <v>11</v>
      </c>
      <c r="B409">
        <f t="shared" ca="1" si="76"/>
        <v>1</v>
      </c>
      <c r="C409">
        <f t="shared" ca="1" si="77"/>
        <v>0</v>
      </c>
      <c r="D409">
        <f t="shared" ca="1" si="78"/>
        <v>0</v>
      </c>
      <c r="I409" s="42"/>
      <c r="J409" s="43"/>
      <c r="K409" s="43"/>
      <c r="L409" s="43"/>
      <c r="M409" s="43"/>
      <c r="N409" s="43"/>
      <c r="O409" s="43"/>
      <c r="P409" s="43"/>
      <c r="Q409" s="43"/>
      <c r="R409" s="43"/>
      <c r="S409" s="43"/>
      <c r="T409" s="43"/>
      <c r="U409" s="43"/>
      <c r="V409" s="43"/>
      <c r="W409" s="43"/>
      <c r="X409" s="43"/>
      <c r="Y409" s="43"/>
      <c r="Z409" s="43"/>
      <c r="AA409" s="44"/>
    </row>
    <row r="410" spans="1:41" x14ac:dyDescent="0.3">
      <c r="A410">
        <v>11</v>
      </c>
      <c r="B410">
        <f t="shared" ca="1" si="76"/>
        <v>0</v>
      </c>
      <c r="C410">
        <f t="shared" ca="1" si="77"/>
        <v>0</v>
      </c>
      <c r="D410">
        <f t="shared" ca="1" si="78"/>
        <v>1</v>
      </c>
      <c r="I410" s="42"/>
      <c r="J410" s="43"/>
      <c r="K410" s="43"/>
      <c r="L410" s="43"/>
      <c r="M410" s="43"/>
      <c r="N410" s="43"/>
      <c r="O410" s="43"/>
      <c r="P410" s="43"/>
      <c r="Q410" s="43"/>
      <c r="R410" s="43"/>
      <c r="S410" s="43"/>
      <c r="T410" s="43"/>
      <c r="U410" s="43"/>
      <c r="V410" s="43"/>
      <c r="W410" s="43"/>
      <c r="X410" s="43"/>
      <c r="Y410" s="43"/>
      <c r="Z410" s="43"/>
      <c r="AA410" s="44"/>
    </row>
    <row r="411" spans="1:41" x14ac:dyDescent="0.3">
      <c r="A411">
        <v>11</v>
      </c>
      <c r="B411">
        <f t="shared" ca="1" si="76"/>
        <v>1</v>
      </c>
      <c r="C411">
        <f t="shared" ca="1" si="77"/>
        <v>0</v>
      </c>
      <c r="D411">
        <f t="shared" ca="1" si="78"/>
        <v>0</v>
      </c>
      <c r="I411" s="42"/>
      <c r="J411" s="43"/>
      <c r="K411" s="43"/>
      <c r="L411" s="43"/>
      <c r="M411" s="43"/>
      <c r="N411" s="43"/>
      <c r="O411" s="43"/>
      <c r="P411" s="43"/>
      <c r="Q411" s="43"/>
      <c r="R411" s="43"/>
      <c r="S411" s="43"/>
      <c r="T411" s="43"/>
      <c r="U411" s="43"/>
      <c r="V411" s="43"/>
      <c r="W411" s="43"/>
      <c r="X411" s="43"/>
      <c r="Y411" s="43"/>
      <c r="Z411" s="43"/>
      <c r="AA411" s="44"/>
    </row>
    <row r="412" spans="1:41" x14ac:dyDescent="0.3">
      <c r="A412">
        <v>10</v>
      </c>
      <c r="B412">
        <f t="shared" ca="1" si="76"/>
        <v>0</v>
      </c>
      <c r="C412">
        <f t="shared" ca="1" si="77"/>
        <v>0</v>
      </c>
      <c r="D412">
        <f t="shared" ca="1" si="78"/>
        <v>1</v>
      </c>
      <c r="I412" s="42"/>
      <c r="J412" s="43"/>
      <c r="K412" s="43"/>
      <c r="L412" s="43"/>
      <c r="M412" s="43"/>
      <c r="N412" s="43"/>
      <c r="O412" s="43"/>
      <c r="P412" s="43"/>
      <c r="Q412" s="43"/>
      <c r="R412" s="43"/>
      <c r="S412" s="43"/>
      <c r="T412" s="43"/>
      <c r="U412" s="43"/>
      <c r="V412" s="43"/>
      <c r="W412" s="43"/>
      <c r="X412" s="43"/>
      <c r="Y412" s="43"/>
      <c r="Z412" s="43"/>
      <c r="AA412" s="44"/>
    </row>
    <row r="413" spans="1:41" x14ac:dyDescent="0.3">
      <c r="A413">
        <v>10</v>
      </c>
      <c r="B413">
        <f t="shared" ca="1" si="76"/>
        <v>0</v>
      </c>
      <c r="C413">
        <f t="shared" ca="1" si="77"/>
        <v>1</v>
      </c>
      <c r="D413">
        <f t="shared" ca="1" si="78"/>
        <v>0</v>
      </c>
      <c r="I413" s="42"/>
      <c r="J413" s="43"/>
      <c r="K413" s="43"/>
      <c r="L413" s="43"/>
      <c r="M413" s="43"/>
      <c r="N413" s="43"/>
      <c r="O413" s="43"/>
      <c r="P413" s="43"/>
      <c r="Q413" s="43"/>
      <c r="R413" s="43"/>
      <c r="S413" s="43"/>
      <c r="T413" s="43"/>
      <c r="U413" s="43"/>
      <c r="V413" s="43"/>
      <c r="W413" s="43"/>
      <c r="X413" s="43"/>
      <c r="Y413" s="43"/>
      <c r="Z413" s="43"/>
      <c r="AA413" s="44"/>
    </row>
    <row r="414" spans="1:41" x14ac:dyDescent="0.3">
      <c r="A414">
        <v>10</v>
      </c>
      <c r="B414">
        <f t="shared" ca="1" si="76"/>
        <v>0</v>
      </c>
      <c r="C414">
        <f t="shared" ca="1" si="77"/>
        <v>0</v>
      </c>
      <c r="D414">
        <f t="shared" ca="1" si="78"/>
        <v>1</v>
      </c>
      <c r="I414" s="42"/>
      <c r="J414" s="43"/>
      <c r="K414" s="43"/>
      <c r="L414" s="43"/>
      <c r="M414" s="43"/>
      <c r="N414" s="43"/>
      <c r="O414" s="43"/>
      <c r="P414" s="43"/>
      <c r="Q414" s="43"/>
      <c r="R414" s="43"/>
      <c r="S414" s="43"/>
      <c r="T414" s="43"/>
      <c r="U414" s="43"/>
      <c r="V414" s="43"/>
      <c r="W414" s="43"/>
      <c r="X414" s="43"/>
      <c r="Y414" s="43"/>
      <c r="Z414" s="43"/>
      <c r="AA414" s="44"/>
    </row>
    <row r="415" spans="1:41" x14ac:dyDescent="0.3">
      <c r="A415">
        <v>9</v>
      </c>
      <c r="B415">
        <f t="shared" ca="1" si="76"/>
        <v>0</v>
      </c>
      <c r="C415">
        <f t="shared" ca="1" si="77"/>
        <v>0</v>
      </c>
      <c r="D415">
        <f t="shared" ca="1" si="78"/>
        <v>1</v>
      </c>
      <c r="I415" s="42"/>
      <c r="J415" s="43"/>
      <c r="K415" s="43"/>
      <c r="L415" s="43"/>
      <c r="M415" s="43"/>
      <c r="N415" s="43"/>
      <c r="O415" s="43"/>
      <c r="P415" s="43"/>
      <c r="Q415" s="43"/>
      <c r="R415" s="43"/>
      <c r="S415" s="43"/>
      <c r="T415" s="43"/>
      <c r="U415" s="43"/>
      <c r="V415" s="43"/>
      <c r="W415" s="43"/>
      <c r="X415" s="43"/>
      <c r="Y415" s="43"/>
      <c r="Z415" s="43"/>
      <c r="AA415" s="44"/>
    </row>
    <row r="416" spans="1:41" x14ac:dyDescent="0.3">
      <c r="A416">
        <v>9</v>
      </c>
      <c r="B416">
        <f t="shared" ca="1" si="76"/>
        <v>0</v>
      </c>
      <c r="C416">
        <f t="shared" ca="1" si="77"/>
        <v>0</v>
      </c>
      <c r="D416">
        <f t="shared" ca="1" si="78"/>
        <v>1</v>
      </c>
      <c r="I416" s="42"/>
      <c r="J416" s="43"/>
      <c r="K416" s="43"/>
      <c r="L416" s="43"/>
      <c r="M416" s="43"/>
      <c r="N416" s="43"/>
      <c r="O416" s="43"/>
      <c r="P416" s="43"/>
      <c r="Q416" s="43"/>
      <c r="R416" s="43"/>
      <c r="S416" s="43"/>
      <c r="T416" s="43"/>
      <c r="U416" s="43"/>
      <c r="V416" s="43"/>
      <c r="W416" s="43"/>
      <c r="X416" s="43"/>
      <c r="Y416" s="43"/>
      <c r="Z416" s="43"/>
      <c r="AA416" s="44"/>
    </row>
    <row r="417" spans="1:27" x14ac:dyDescent="0.3">
      <c r="A417">
        <v>9</v>
      </c>
      <c r="B417">
        <f t="shared" ca="1" si="76"/>
        <v>1</v>
      </c>
      <c r="C417">
        <f t="shared" ca="1" si="77"/>
        <v>0</v>
      </c>
      <c r="D417">
        <f t="shared" ca="1" si="78"/>
        <v>0</v>
      </c>
      <c r="I417" s="42"/>
      <c r="J417" s="43"/>
      <c r="K417" s="43"/>
      <c r="L417" s="43"/>
      <c r="M417" s="43"/>
      <c r="N417" s="43"/>
      <c r="O417" s="43"/>
      <c r="P417" s="43"/>
      <c r="Q417" s="43"/>
      <c r="R417" s="43"/>
      <c r="S417" s="43"/>
      <c r="T417" s="43"/>
      <c r="U417" s="43"/>
      <c r="V417" s="43"/>
      <c r="W417" s="43"/>
      <c r="X417" s="43"/>
      <c r="Y417" s="43"/>
      <c r="Z417" s="43"/>
      <c r="AA417" s="44"/>
    </row>
    <row r="418" spans="1:27" x14ac:dyDescent="0.3">
      <c r="A418">
        <v>9</v>
      </c>
      <c r="B418">
        <f t="shared" ca="1" si="76"/>
        <v>0</v>
      </c>
      <c r="C418">
        <f t="shared" ca="1" si="77"/>
        <v>1</v>
      </c>
      <c r="D418">
        <f t="shared" ca="1" si="78"/>
        <v>0</v>
      </c>
      <c r="I418" s="42"/>
      <c r="J418" s="43"/>
      <c r="K418" s="43"/>
      <c r="L418" s="43"/>
      <c r="M418" s="43"/>
      <c r="N418" s="43"/>
      <c r="O418" s="43"/>
      <c r="P418" s="43"/>
      <c r="Q418" s="43"/>
      <c r="R418" s="43"/>
      <c r="S418" s="43"/>
      <c r="T418" s="43"/>
      <c r="U418" s="43"/>
      <c r="V418" s="43"/>
      <c r="W418" s="43"/>
      <c r="X418" s="43"/>
      <c r="Y418" s="43"/>
      <c r="Z418" s="43"/>
      <c r="AA418" s="44"/>
    </row>
    <row r="419" spans="1:27" x14ac:dyDescent="0.3">
      <c r="A419">
        <v>9</v>
      </c>
      <c r="B419">
        <f t="shared" ca="1" si="76"/>
        <v>0</v>
      </c>
      <c r="C419">
        <f t="shared" ca="1" si="77"/>
        <v>0</v>
      </c>
      <c r="D419">
        <f t="shared" ca="1" si="78"/>
        <v>1</v>
      </c>
      <c r="I419" s="42"/>
      <c r="J419" s="43"/>
      <c r="K419" s="43"/>
      <c r="L419" s="43"/>
      <c r="M419" s="43"/>
      <c r="N419" s="43"/>
      <c r="O419" s="43"/>
      <c r="P419" s="43"/>
      <c r="Q419" s="43"/>
      <c r="R419" s="43"/>
      <c r="S419" s="43"/>
      <c r="T419" s="43"/>
      <c r="U419" s="43"/>
      <c r="V419" s="43"/>
      <c r="W419" s="43"/>
      <c r="X419" s="43"/>
      <c r="Y419" s="43"/>
      <c r="Z419" s="43"/>
      <c r="AA419" s="44"/>
    </row>
    <row r="420" spans="1:27" x14ac:dyDescent="0.3">
      <c r="A420">
        <v>9</v>
      </c>
      <c r="B420">
        <f t="shared" ca="1" si="76"/>
        <v>1</v>
      </c>
      <c r="C420">
        <f t="shared" ca="1" si="77"/>
        <v>0</v>
      </c>
      <c r="D420">
        <f t="shared" ca="1" si="78"/>
        <v>0</v>
      </c>
      <c r="I420" s="42"/>
      <c r="J420" s="43"/>
      <c r="K420" s="43"/>
      <c r="L420" s="43"/>
      <c r="M420" s="43"/>
      <c r="N420" s="43"/>
      <c r="O420" s="43"/>
      <c r="P420" s="43"/>
      <c r="Q420" s="43"/>
      <c r="R420" s="43"/>
      <c r="S420" s="43"/>
      <c r="T420" s="43"/>
      <c r="U420" s="43"/>
      <c r="V420" s="43"/>
      <c r="W420" s="43"/>
      <c r="X420" s="43"/>
      <c r="Y420" s="43"/>
      <c r="Z420" s="43"/>
      <c r="AA420" s="44"/>
    </row>
    <row r="421" spans="1:27" x14ac:dyDescent="0.3">
      <c r="A421">
        <v>8</v>
      </c>
      <c r="B421">
        <f t="shared" ca="1" si="76"/>
        <v>1</v>
      </c>
      <c r="C421">
        <f t="shared" ca="1" si="77"/>
        <v>0</v>
      </c>
      <c r="D421">
        <f t="shared" ca="1" si="78"/>
        <v>0</v>
      </c>
      <c r="I421" s="42"/>
      <c r="J421" s="43"/>
      <c r="K421" s="43"/>
      <c r="L421" s="43"/>
      <c r="M421" s="43"/>
      <c r="N421" s="43"/>
      <c r="O421" s="43"/>
      <c r="P421" s="43"/>
      <c r="Q421" s="43"/>
      <c r="R421" s="43"/>
      <c r="S421" s="43"/>
      <c r="T421" s="43"/>
      <c r="U421" s="43"/>
      <c r="V421" s="43"/>
      <c r="W421" s="43"/>
      <c r="X421" s="43"/>
      <c r="Y421" s="43"/>
      <c r="Z421" s="43"/>
      <c r="AA421" s="44"/>
    </row>
    <row r="422" spans="1:27" x14ac:dyDescent="0.3">
      <c r="A422">
        <v>8</v>
      </c>
      <c r="B422">
        <f t="shared" ca="1" si="76"/>
        <v>0</v>
      </c>
      <c r="C422">
        <f t="shared" ca="1" si="77"/>
        <v>0</v>
      </c>
      <c r="D422">
        <f t="shared" ca="1" si="78"/>
        <v>1</v>
      </c>
      <c r="I422" s="42"/>
      <c r="J422" s="43"/>
      <c r="K422" s="43"/>
      <c r="L422" s="43"/>
      <c r="M422" s="43"/>
      <c r="N422" s="43"/>
      <c r="O422" s="43"/>
      <c r="P422" s="43"/>
      <c r="Q422" s="43"/>
      <c r="R422" s="43"/>
      <c r="S422" s="43"/>
      <c r="T422" s="43"/>
      <c r="U422" s="43"/>
      <c r="V422" s="43"/>
      <c r="W422" s="43"/>
      <c r="X422" s="43"/>
      <c r="Y422" s="43"/>
      <c r="Z422" s="43"/>
      <c r="AA422" s="44"/>
    </row>
    <row r="423" spans="1:27" x14ac:dyDescent="0.3">
      <c r="A423">
        <v>8</v>
      </c>
      <c r="B423">
        <f t="shared" ca="1" si="76"/>
        <v>0</v>
      </c>
      <c r="C423">
        <f t="shared" ca="1" si="77"/>
        <v>0</v>
      </c>
      <c r="D423">
        <f t="shared" ca="1" si="78"/>
        <v>1</v>
      </c>
      <c r="I423" s="42"/>
      <c r="J423" s="43"/>
      <c r="K423" s="43"/>
      <c r="L423" s="43"/>
      <c r="M423" s="43"/>
      <c r="N423" s="43"/>
      <c r="O423" s="43"/>
      <c r="P423" s="43"/>
      <c r="Q423" s="43"/>
      <c r="R423" s="43"/>
      <c r="S423" s="43"/>
      <c r="T423" s="43"/>
      <c r="U423" s="43"/>
      <c r="V423" s="43"/>
      <c r="W423" s="43"/>
      <c r="X423" s="43"/>
      <c r="Y423" s="43"/>
      <c r="Z423" s="43"/>
      <c r="AA423" s="44"/>
    </row>
    <row r="424" spans="1:27" x14ac:dyDescent="0.3">
      <c r="A424">
        <v>8</v>
      </c>
      <c r="B424">
        <f t="shared" ca="1" si="76"/>
        <v>0</v>
      </c>
      <c r="C424">
        <f t="shared" ca="1" si="77"/>
        <v>1</v>
      </c>
      <c r="D424">
        <f t="shared" ca="1" si="78"/>
        <v>0</v>
      </c>
      <c r="I424" s="42"/>
      <c r="J424" s="43"/>
      <c r="K424" s="43"/>
      <c r="L424" s="43"/>
      <c r="M424" s="43"/>
      <c r="N424" s="43"/>
      <c r="O424" s="43"/>
      <c r="P424" s="43"/>
      <c r="Q424" s="43"/>
      <c r="R424" s="43"/>
      <c r="S424" s="43"/>
      <c r="T424" s="43"/>
      <c r="U424" s="43"/>
      <c r="V424" s="43"/>
      <c r="W424" s="43"/>
      <c r="X424" s="43"/>
      <c r="Y424" s="43"/>
      <c r="Z424" s="43"/>
      <c r="AA424" s="44"/>
    </row>
    <row r="425" spans="1:27" x14ac:dyDescent="0.3">
      <c r="A425">
        <v>7</v>
      </c>
      <c r="B425">
        <f t="shared" ca="1" si="76"/>
        <v>0</v>
      </c>
      <c r="C425">
        <f t="shared" ca="1" si="77"/>
        <v>0</v>
      </c>
      <c r="D425">
        <f t="shared" ca="1" si="78"/>
        <v>1</v>
      </c>
      <c r="I425" s="42"/>
      <c r="J425" s="43"/>
      <c r="K425" s="43"/>
      <c r="L425" s="43"/>
      <c r="M425" s="43"/>
      <c r="N425" s="43"/>
      <c r="O425" s="43"/>
      <c r="P425" s="43"/>
      <c r="Q425" s="43"/>
      <c r="R425" s="43"/>
      <c r="S425" s="43"/>
      <c r="T425" s="43"/>
      <c r="U425" s="43"/>
      <c r="V425" s="43"/>
      <c r="W425" s="43"/>
      <c r="X425" s="43"/>
      <c r="Y425" s="43"/>
      <c r="Z425" s="43"/>
      <c r="AA425" s="44"/>
    </row>
    <row r="426" spans="1:27" x14ac:dyDescent="0.3">
      <c r="A426">
        <v>7</v>
      </c>
      <c r="B426">
        <f t="shared" ca="1" si="76"/>
        <v>0</v>
      </c>
      <c r="C426">
        <f t="shared" ca="1" si="77"/>
        <v>0</v>
      </c>
      <c r="D426">
        <f t="shared" ca="1" si="78"/>
        <v>1</v>
      </c>
      <c r="I426" s="42"/>
      <c r="J426" s="43"/>
      <c r="K426" s="43"/>
      <c r="L426" s="43"/>
      <c r="M426" s="43"/>
      <c r="N426" s="43"/>
      <c r="O426" s="43"/>
      <c r="P426" s="43"/>
      <c r="Q426" s="43"/>
      <c r="R426" s="43"/>
      <c r="S426" s="43"/>
      <c r="T426" s="43"/>
      <c r="U426" s="43"/>
      <c r="V426" s="43"/>
      <c r="W426" s="43"/>
      <c r="X426" s="43"/>
      <c r="Y426" s="43"/>
      <c r="Z426" s="43"/>
      <c r="AA426" s="44"/>
    </row>
    <row r="427" spans="1:27" x14ac:dyDescent="0.3">
      <c r="A427">
        <v>7</v>
      </c>
      <c r="B427">
        <f t="shared" ca="1" si="76"/>
        <v>1</v>
      </c>
      <c r="C427">
        <f t="shared" ca="1" si="77"/>
        <v>0</v>
      </c>
      <c r="D427">
        <f t="shared" ca="1" si="78"/>
        <v>0</v>
      </c>
      <c r="I427" s="42"/>
      <c r="J427" s="43"/>
      <c r="K427" s="43"/>
      <c r="L427" s="43"/>
      <c r="M427" s="43" t="s">
        <v>2217</v>
      </c>
      <c r="N427" s="43"/>
      <c r="O427" s="43"/>
      <c r="P427" s="43"/>
      <c r="Q427" s="43"/>
      <c r="R427" s="43"/>
      <c r="S427" s="43"/>
      <c r="T427" s="43"/>
      <c r="U427" s="43"/>
      <c r="V427" s="43"/>
      <c r="W427" s="43"/>
      <c r="X427" s="43"/>
      <c r="Y427" s="43"/>
      <c r="Z427" s="43"/>
      <c r="AA427" s="44"/>
    </row>
    <row r="428" spans="1:27" x14ac:dyDescent="0.3">
      <c r="A428">
        <v>7</v>
      </c>
      <c r="B428">
        <f t="shared" ca="1" si="76"/>
        <v>0</v>
      </c>
      <c r="C428">
        <f t="shared" ca="1" si="77"/>
        <v>0</v>
      </c>
      <c r="D428">
        <f t="shared" ca="1" si="78"/>
        <v>1</v>
      </c>
      <c r="I428" s="42"/>
      <c r="J428" s="43"/>
      <c r="K428" s="43"/>
      <c r="L428" s="43" t="s">
        <v>2218</v>
      </c>
      <c r="M428" s="43"/>
      <c r="N428" s="45">
        <f>AVERAGEIF(F2:F363, "&gt;1",E2:E363)</f>
        <v>3.66412213740458</v>
      </c>
      <c r="O428" s="43"/>
      <c r="P428" s="43"/>
      <c r="Q428" s="43"/>
      <c r="R428" s="43"/>
      <c r="S428" s="43"/>
      <c r="T428" s="43"/>
      <c r="U428" s="43"/>
      <c r="V428" s="43"/>
      <c r="W428" s="43"/>
      <c r="X428" s="43"/>
      <c r="Y428" s="43"/>
      <c r="Z428" s="43"/>
      <c r="AA428" s="44"/>
    </row>
    <row r="429" spans="1:27" x14ac:dyDescent="0.3">
      <c r="A429">
        <v>7</v>
      </c>
      <c r="B429">
        <f t="shared" ca="1" si="76"/>
        <v>1</v>
      </c>
      <c r="C429">
        <f t="shared" ca="1" si="77"/>
        <v>0</v>
      </c>
      <c r="D429">
        <f t="shared" ca="1" si="78"/>
        <v>0</v>
      </c>
      <c r="I429" s="42"/>
      <c r="J429" s="43"/>
      <c r="K429" s="43"/>
      <c r="L429" s="43" t="s">
        <v>2219</v>
      </c>
      <c r="M429" s="43"/>
      <c r="N429" s="45">
        <f>AVERAGEIF(F2:F363, "=1",E2:E363)</f>
        <v>3.61</v>
      </c>
      <c r="O429" s="43"/>
      <c r="P429" s="43"/>
      <c r="Q429" s="43"/>
      <c r="R429" s="43"/>
      <c r="S429" s="43"/>
      <c r="T429" s="43"/>
      <c r="U429" s="43"/>
      <c r="V429" s="43"/>
      <c r="W429" s="43"/>
      <c r="X429" s="43"/>
      <c r="Y429" s="43"/>
      <c r="Z429" s="43"/>
      <c r="AA429" s="44"/>
    </row>
    <row r="430" spans="1:27" x14ac:dyDescent="0.3">
      <c r="A430">
        <v>7</v>
      </c>
      <c r="B430">
        <f t="shared" ca="1" si="76"/>
        <v>1</v>
      </c>
      <c r="C430">
        <f t="shared" ca="1" si="77"/>
        <v>0</v>
      </c>
      <c r="D430">
        <f t="shared" ca="1" si="78"/>
        <v>0</v>
      </c>
      <c r="I430" s="42"/>
      <c r="J430" s="43"/>
      <c r="K430" s="43"/>
      <c r="L430" s="43"/>
      <c r="M430" s="43"/>
      <c r="N430" s="43"/>
      <c r="O430" s="43"/>
      <c r="P430" s="43"/>
      <c r="Q430" s="43"/>
      <c r="R430" s="43"/>
      <c r="S430" s="43"/>
      <c r="T430" s="43"/>
      <c r="U430" s="43"/>
      <c r="V430" s="43"/>
      <c r="W430" s="43"/>
      <c r="X430" s="43"/>
      <c r="Y430" s="43"/>
      <c r="Z430" s="43"/>
      <c r="AA430" s="44"/>
    </row>
    <row r="431" spans="1:27" x14ac:dyDescent="0.3">
      <c r="A431">
        <v>7</v>
      </c>
      <c r="B431">
        <f t="shared" ca="1" si="76"/>
        <v>1</v>
      </c>
      <c r="C431">
        <f t="shared" ca="1" si="77"/>
        <v>0</v>
      </c>
      <c r="D431">
        <f t="shared" ca="1" si="78"/>
        <v>0</v>
      </c>
      <c r="I431" s="42"/>
      <c r="J431" s="43"/>
      <c r="K431" s="43"/>
      <c r="L431" s="43"/>
      <c r="M431" s="43" t="s">
        <v>2220</v>
      </c>
      <c r="N431" s="43"/>
      <c r="O431" s="43"/>
      <c r="P431" s="43"/>
      <c r="Q431" s="43"/>
      <c r="R431" s="43"/>
      <c r="S431" s="43"/>
      <c r="T431" s="43"/>
      <c r="U431" s="43"/>
      <c r="V431" s="43"/>
      <c r="W431" s="43"/>
      <c r="X431" s="43"/>
      <c r="Y431" s="43"/>
      <c r="Z431" s="43"/>
      <c r="AA431" s="44"/>
    </row>
    <row r="432" spans="1:27" x14ac:dyDescent="0.3">
      <c r="A432">
        <v>7</v>
      </c>
      <c r="B432">
        <f t="shared" ca="1" si="76"/>
        <v>0</v>
      </c>
      <c r="C432">
        <f t="shared" ca="1" si="77"/>
        <v>0</v>
      </c>
      <c r="D432">
        <f t="shared" ca="1" si="78"/>
        <v>1</v>
      </c>
      <c r="I432" s="42"/>
      <c r="J432" s="43"/>
      <c r="K432" s="43" t="s">
        <v>2222</v>
      </c>
      <c r="L432" s="45">
        <f>CORREL(F2:F363, E2:E363)</f>
        <v>-2.2633690485823709E-2</v>
      </c>
      <c r="M432" s="43"/>
      <c r="N432" s="43"/>
      <c r="O432" s="43"/>
      <c r="P432" s="43"/>
      <c r="Q432" s="43"/>
      <c r="R432" s="43"/>
      <c r="S432" s="43"/>
      <c r="T432" s="43"/>
      <c r="U432" s="43"/>
      <c r="V432" s="43"/>
      <c r="W432" s="43"/>
      <c r="X432" s="43"/>
      <c r="Y432" s="43"/>
      <c r="Z432" s="43"/>
      <c r="AA432" s="44"/>
    </row>
    <row r="433" spans="1:27" x14ac:dyDescent="0.3">
      <c r="A433">
        <v>7</v>
      </c>
      <c r="B433">
        <f t="shared" ca="1" si="76"/>
        <v>0</v>
      </c>
      <c r="C433">
        <f t="shared" ca="1" si="77"/>
        <v>1</v>
      </c>
      <c r="D433">
        <f t="shared" ca="1" si="78"/>
        <v>0</v>
      </c>
      <c r="I433" s="42"/>
      <c r="J433" s="43"/>
      <c r="K433" s="43" t="s">
        <v>2224</v>
      </c>
      <c r="L433" s="45">
        <f ca="1">CORREL(AK2:AK363, E2:E363)</f>
        <v>0.11984662541276853</v>
      </c>
      <c r="M433" s="43"/>
      <c r="N433" s="43"/>
      <c r="O433" s="43"/>
      <c r="P433" s="43"/>
      <c r="Q433" s="43"/>
      <c r="R433" s="43"/>
      <c r="S433" s="43"/>
      <c r="T433" s="43"/>
      <c r="U433" s="43"/>
      <c r="V433" s="43"/>
      <c r="W433" s="43"/>
      <c r="X433" s="43"/>
      <c r="Y433" s="43"/>
      <c r="Z433" s="43"/>
      <c r="AA433" s="44"/>
    </row>
    <row r="434" spans="1:27" x14ac:dyDescent="0.3">
      <c r="A434">
        <v>7</v>
      </c>
      <c r="B434">
        <f t="shared" ca="1" si="76"/>
        <v>0</v>
      </c>
      <c r="C434">
        <f t="shared" ca="1" si="77"/>
        <v>1</v>
      </c>
      <c r="D434">
        <f t="shared" ca="1" si="78"/>
        <v>0</v>
      </c>
      <c r="I434" s="42"/>
      <c r="J434" s="43"/>
      <c r="K434" s="43" t="s">
        <v>2223</v>
      </c>
      <c r="L434" s="45">
        <f ca="1">CORREL(AL2:AL363, E2:E363)</f>
        <v>0.10274858747089885</v>
      </c>
      <c r="M434" s="43"/>
      <c r="N434" s="43"/>
      <c r="O434" s="43"/>
      <c r="P434" s="43"/>
      <c r="Q434" s="43"/>
      <c r="R434" s="43"/>
      <c r="S434" s="43"/>
      <c r="T434" s="43"/>
      <c r="U434" s="43"/>
      <c r="V434" s="43"/>
      <c r="W434" s="43"/>
      <c r="X434" s="43"/>
      <c r="Y434" s="43"/>
      <c r="Z434" s="43"/>
      <c r="AA434" s="44"/>
    </row>
    <row r="435" spans="1:27" x14ac:dyDescent="0.3">
      <c r="A435">
        <v>7</v>
      </c>
      <c r="B435">
        <f t="shared" ca="1" si="76"/>
        <v>1</v>
      </c>
      <c r="C435">
        <f t="shared" ca="1" si="77"/>
        <v>0</v>
      </c>
      <c r="D435">
        <f t="shared" ca="1" si="78"/>
        <v>0</v>
      </c>
      <c r="I435" s="42"/>
      <c r="J435" s="43"/>
      <c r="K435" s="43"/>
      <c r="L435" s="43"/>
      <c r="M435" s="43"/>
      <c r="N435" s="43"/>
      <c r="O435" s="43"/>
      <c r="P435" s="43"/>
      <c r="Q435" s="43"/>
      <c r="R435" s="43"/>
      <c r="S435" s="43"/>
      <c r="T435" s="43"/>
      <c r="U435" s="43"/>
      <c r="V435" s="43"/>
      <c r="W435" s="43"/>
      <c r="X435" s="43"/>
      <c r="Y435" s="43"/>
      <c r="Z435" s="43"/>
      <c r="AA435" s="44"/>
    </row>
    <row r="436" spans="1:27" x14ac:dyDescent="0.3">
      <c r="A436">
        <v>6</v>
      </c>
      <c r="B436">
        <f t="shared" ca="1" si="76"/>
        <v>0</v>
      </c>
      <c r="C436">
        <f t="shared" ca="1" si="77"/>
        <v>0</v>
      </c>
      <c r="D436">
        <f t="shared" ca="1" si="78"/>
        <v>1</v>
      </c>
      <c r="I436" s="42"/>
      <c r="J436" s="43"/>
      <c r="K436" s="43"/>
      <c r="L436" s="43"/>
      <c r="M436" s="43"/>
      <c r="N436" s="43"/>
      <c r="O436" s="43"/>
      <c r="P436" s="43"/>
      <c r="Q436" s="43"/>
      <c r="R436" s="43"/>
      <c r="S436" s="43"/>
      <c r="T436" s="43"/>
      <c r="U436" s="43"/>
      <c r="V436" s="43"/>
      <c r="W436" s="43"/>
      <c r="X436" s="43"/>
      <c r="Y436" s="43"/>
      <c r="Z436" s="43"/>
      <c r="AA436" s="44"/>
    </row>
    <row r="437" spans="1:27" x14ac:dyDescent="0.3">
      <c r="A437">
        <v>6</v>
      </c>
      <c r="B437">
        <f t="shared" ca="1" si="76"/>
        <v>0</v>
      </c>
      <c r="C437">
        <f t="shared" ca="1" si="77"/>
        <v>0</v>
      </c>
      <c r="D437">
        <f t="shared" ca="1" si="78"/>
        <v>1</v>
      </c>
      <c r="I437" s="42"/>
      <c r="J437" s="43"/>
      <c r="K437" s="43"/>
      <c r="L437" s="43"/>
      <c r="M437" s="43"/>
      <c r="N437" s="43"/>
      <c r="O437" s="43"/>
      <c r="P437" s="43"/>
      <c r="Q437" s="43"/>
      <c r="R437" s="43"/>
      <c r="S437" s="43"/>
      <c r="T437" s="43"/>
      <c r="U437" s="43"/>
      <c r="V437" s="43"/>
      <c r="W437" s="43"/>
      <c r="X437" s="43"/>
      <c r="Y437" s="43"/>
      <c r="Z437" s="43"/>
      <c r="AA437" s="44"/>
    </row>
    <row r="438" spans="1:27" x14ac:dyDescent="0.3">
      <c r="A438">
        <v>6</v>
      </c>
      <c r="B438">
        <f t="shared" ca="1" si="76"/>
        <v>0</v>
      </c>
      <c r="C438">
        <f t="shared" ca="1" si="77"/>
        <v>0</v>
      </c>
      <c r="D438">
        <f t="shared" ca="1" si="78"/>
        <v>1</v>
      </c>
      <c r="I438" s="42"/>
      <c r="J438" s="43"/>
      <c r="K438" s="43"/>
      <c r="L438" s="43"/>
      <c r="M438" s="43"/>
      <c r="N438" s="43"/>
      <c r="O438" s="43"/>
      <c r="P438" s="43"/>
      <c r="Q438" s="43"/>
      <c r="R438" s="43"/>
      <c r="S438" s="43"/>
      <c r="T438" s="43"/>
      <c r="U438" s="43"/>
      <c r="V438" s="43"/>
      <c r="W438" s="43"/>
      <c r="X438" s="43"/>
      <c r="Y438" s="43"/>
      <c r="Z438" s="43"/>
      <c r="AA438" s="44"/>
    </row>
    <row r="439" spans="1:27" x14ac:dyDescent="0.3">
      <c r="A439">
        <v>6</v>
      </c>
      <c r="B439">
        <f t="shared" ca="1" si="76"/>
        <v>1</v>
      </c>
      <c r="C439">
        <f t="shared" ca="1" si="77"/>
        <v>0</v>
      </c>
      <c r="D439">
        <f t="shared" ca="1" si="78"/>
        <v>0</v>
      </c>
      <c r="I439" s="42"/>
      <c r="J439" s="43"/>
      <c r="K439" s="43"/>
      <c r="L439" s="43"/>
      <c r="M439" s="43"/>
      <c r="N439" s="43"/>
      <c r="O439" s="43"/>
      <c r="P439" s="43"/>
      <c r="Q439" s="43"/>
      <c r="R439" s="43"/>
      <c r="S439" s="43"/>
      <c r="T439" s="43"/>
      <c r="U439" s="43"/>
      <c r="V439" s="43"/>
      <c r="W439" s="43"/>
      <c r="X439" s="43"/>
      <c r="Y439" s="43"/>
      <c r="Z439" s="43"/>
      <c r="AA439" s="44"/>
    </row>
    <row r="440" spans="1:27" x14ac:dyDescent="0.3">
      <c r="A440">
        <v>6</v>
      </c>
      <c r="B440">
        <f t="shared" ca="1" si="76"/>
        <v>0</v>
      </c>
      <c r="C440">
        <f t="shared" ca="1" si="77"/>
        <v>1</v>
      </c>
      <c r="D440">
        <f t="shared" ca="1" si="78"/>
        <v>0</v>
      </c>
      <c r="I440" s="42"/>
      <c r="J440" s="43"/>
      <c r="K440" s="43"/>
      <c r="L440" s="43"/>
      <c r="M440" s="43"/>
      <c r="N440" s="43"/>
      <c r="O440" s="43"/>
      <c r="P440" s="43"/>
      <c r="Q440" s="43"/>
      <c r="R440" s="43"/>
      <c r="S440" s="43"/>
      <c r="T440" s="43"/>
      <c r="U440" s="43"/>
      <c r="V440" s="43"/>
      <c r="W440" s="43"/>
      <c r="X440" s="43"/>
      <c r="Y440" s="43"/>
      <c r="Z440" s="43"/>
      <c r="AA440" s="44"/>
    </row>
    <row r="441" spans="1:27" x14ac:dyDescent="0.3">
      <c r="A441">
        <v>6</v>
      </c>
      <c r="B441">
        <f t="shared" ca="1" si="76"/>
        <v>0</v>
      </c>
      <c r="C441">
        <f t="shared" ca="1" si="77"/>
        <v>0</v>
      </c>
      <c r="D441">
        <f t="shared" ca="1" si="78"/>
        <v>1</v>
      </c>
      <c r="I441" s="42"/>
      <c r="J441" s="43"/>
      <c r="K441" s="43"/>
      <c r="L441" s="43"/>
      <c r="M441" s="43"/>
      <c r="N441" s="43"/>
      <c r="O441" s="43"/>
      <c r="P441" s="43"/>
      <c r="Q441" s="43"/>
      <c r="R441" s="43"/>
      <c r="S441" s="43"/>
      <c r="T441" s="43"/>
      <c r="U441" s="43"/>
      <c r="V441" s="43"/>
      <c r="W441" s="43"/>
      <c r="X441" s="43"/>
      <c r="Y441" s="43"/>
      <c r="Z441" s="43"/>
      <c r="AA441" s="44"/>
    </row>
    <row r="442" spans="1:27" x14ac:dyDescent="0.3">
      <c r="A442">
        <v>6</v>
      </c>
      <c r="B442">
        <f t="shared" ca="1" si="76"/>
        <v>0</v>
      </c>
      <c r="C442">
        <f t="shared" ca="1" si="77"/>
        <v>1</v>
      </c>
      <c r="D442">
        <f t="shared" ca="1" si="78"/>
        <v>0</v>
      </c>
      <c r="I442" s="42"/>
      <c r="J442" s="43"/>
      <c r="K442" s="43"/>
      <c r="L442" s="43"/>
      <c r="M442" s="43"/>
      <c r="N442" s="43"/>
      <c r="O442" s="43"/>
      <c r="P442" s="43"/>
      <c r="Q442" s="43"/>
      <c r="R442" s="43"/>
      <c r="S442" s="43"/>
      <c r="T442" s="43"/>
      <c r="U442" s="43"/>
      <c r="V442" s="43"/>
      <c r="W442" s="43"/>
      <c r="X442" s="43"/>
      <c r="Y442" s="43"/>
      <c r="Z442" s="43"/>
      <c r="AA442" s="44"/>
    </row>
    <row r="443" spans="1:27" x14ac:dyDescent="0.3">
      <c r="A443">
        <v>6</v>
      </c>
      <c r="B443">
        <f t="shared" ref="B443:B506" ca="1" si="81">$AN66</f>
        <v>0</v>
      </c>
      <c r="C443">
        <f t="shared" ref="C443:C506" ca="1" si="82">$AO66</f>
        <v>0</v>
      </c>
      <c r="D443">
        <f t="shared" ref="D443:D506" ca="1" si="83">$AQ66</f>
        <v>1</v>
      </c>
      <c r="I443" s="42"/>
      <c r="J443" s="43"/>
      <c r="K443" s="43"/>
      <c r="L443" s="43"/>
      <c r="M443" s="43"/>
      <c r="N443" s="43"/>
      <c r="O443" s="43"/>
      <c r="P443" s="43"/>
      <c r="Q443" s="43"/>
      <c r="R443" s="43"/>
      <c r="S443" s="43"/>
      <c r="T443" s="43"/>
      <c r="U443" s="43"/>
      <c r="V443" s="43"/>
      <c r="W443" s="43"/>
      <c r="X443" s="43"/>
      <c r="Y443" s="43"/>
      <c r="Z443" s="43"/>
      <c r="AA443" s="44"/>
    </row>
    <row r="444" spans="1:27" x14ac:dyDescent="0.3">
      <c r="A444">
        <v>6</v>
      </c>
      <c r="B444">
        <f t="shared" ca="1" si="81"/>
        <v>0</v>
      </c>
      <c r="C444">
        <f t="shared" ca="1" si="82"/>
        <v>0</v>
      </c>
      <c r="D444">
        <f t="shared" ca="1" si="83"/>
        <v>1</v>
      </c>
      <c r="I444" s="42"/>
      <c r="J444" s="43"/>
      <c r="K444" s="43"/>
      <c r="L444" s="43"/>
      <c r="M444" s="43"/>
      <c r="N444" s="43"/>
      <c r="O444" s="43"/>
      <c r="P444" s="43"/>
      <c r="Q444" s="43"/>
      <c r="R444" s="43"/>
      <c r="S444" s="43"/>
      <c r="T444" s="43"/>
      <c r="U444" s="43"/>
      <c r="V444" s="43"/>
      <c r="W444" s="43"/>
      <c r="X444" s="43"/>
      <c r="Y444" s="43"/>
      <c r="Z444" s="43"/>
      <c r="AA444" s="44"/>
    </row>
    <row r="445" spans="1:27" x14ac:dyDescent="0.3">
      <c r="A445">
        <v>6</v>
      </c>
      <c r="B445">
        <f t="shared" ca="1" si="81"/>
        <v>1</v>
      </c>
      <c r="C445">
        <f t="shared" ca="1" si="82"/>
        <v>0</v>
      </c>
      <c r="D445">
        <f t="shared" ca="1" si="83"/>
        <v>0</v>
      </c>
      <c r="I445" s="42"/>
      <c r="J445" s="43"/>
      <c r="K445" s="43"/>
      <c r="L445" s="43"/>
      <c r="M445" s="43"/>
      <c r="N445" s="43"/>
      <c r="O445" s="43"/>
      <c r="P445" s="43"/>
      <c r="Q445" s="43"/>
      <c r="R445" s="43"/>
      <c r="S445" s="43"/>
      <c r="T445" s="43"/>
      <c r="U445" s="43"/>
      <c r="V445" s="43"/>
      <c r="W445" s="43"/>
      <c r="X445" s="43"/>
      <c r="Y445" s="43"/>
      <c r="Z445" s="43"/>
      <c r="AA445" s="44"/>
    </row>
    <row r="446" spans="1:27" x14ac:dyDescent="0.3">
      <c r="A446">
        <v>5</v>
      </c>
      <c r="B446">
        <f t="shared" ca="1" si="81"/>
        <v>1</v>
      </c>
      <c r="C446">
        <f t="shared" ca="1" si="82"/>
        <v>0</v>
      </c>
      <c r="D446">
        <f t="shared" ca="1" si="83"/>
        <v>0</v>
      </c>
      <c r="I446" s="42"/>
      <c r="J446" s="43"/>
      <c r="K446" s="43"/>
      <c r="L446" s="43"/>
      <c r="M446" s="43"/>
      <c r="N446" s="43"/>
      <c r="O446" s="43"/>
      <c r="P446" s="43"/>
      <c r="Q446" s="43"/>
      <c r="R446" s="43"/>
      <c r="S446" s="43"/>
      <c r="T446" s="43"/>
      <c r="U446" s="43"/>
      <c r="V446" s="43"/>
      <c r="W446" s="43"/>
      <c r="X446" s="43"/>
      <c r="Y446" s="43"/>
      <c r="Z446" s="43"/>
      <c r="AA446" s="44"/>
    </row>
    <row r="447" spans="1:27" x14ac:dyDescent="0.3">
      <c r="A447">
        <v>5</v>
      </c>
      <c r="B447">
        <f t="shared" ca="1" si="81"/>
        <v>1</v>
      </c>
      <c r="C447">
        <f t="shared" ca="1" si="82"/>
        <v>0</v>
      </c>
      <c r="D447">
        <f t="shared" ca="1" si="83"/>
        <v>0</v>
      </c>
      <c r="I447" s="42"/>
      <c r="J447" s="43"/>
      <c r="K447" s="43"/>
      <c r="L447" s="43"/>
      <c r="M447" s="43"/>
      <c r="N447" s="43"/>
      <c r="O447" s="43"/>
      <c r="P447" s="43"/>
      <c r="Q447" s="43"/>
      <c r="R447" s="43"/>
      <c r="S447" s="43"/>
      <c r="T447" s="43"/>
      <c r="U447" s="43"/>
      <c r="V447" s="43"/>
      <c r="W447" s="43"/>
      <c r="X447" s="43"/>
      <c r="Y447" s="43"/>
      <c r="Z447" s="43"/>
      <c r="AA447" s="44"/>
    </row>
    <row r="448" spans="1:27" x14ac:dyDescent="0.3">
      <c r="A448">
        <v>5</v>
      </c>
      <c r="B448">
        <f t="shared" ca="1" si="81"/>
        <v>1</v>
      </c>
      <c r="C448">
        <f t="shared" ca="1" si="82"/>
        <v>0</v>
      </c>
      <c r="D448">
        <f t="shared" ca="1" si="83"/>
        <v>0</v>
      </c>
      <c r="I448" s="42"/>
      <c r="J448" s="43"/>
      <c r="K448" s="43"/>
      <c r="L448" s="43"/>
      <c r="M448" s="43"/>
      <c r="N448" s="43"/>
      <c r="O448" s="43"/>
      <c r="P448" s="43"/>
      <c r="Q448" s="43"/>
      <c r="R448" s="43"/>
      <c r="S448" s="43"/>
      <c r="T448" s="43"/>
      <c r="U448" s="43"/>
      <c r="V448" s="43"/>
      <c r="W448" s="43"/>
      <c r="X448" s="43"/>
      <c r="Y448" s="43"/>
      <c r="Z448" s="43"/>
      <c r="AA448" s="44"/>
    </row>
    <row r="449" spans="1:27" x14ac:dyDescent="0.3">
      <c r="A449">
        <v>5</v>
      </c>
      <c r="B449">
        <f t="shared" ca="1" si="81"/>
        <v>0</v>
      </c>
      <c r="C449">
        <f t="shared" ca="1" si="82"/>
        <v>0</v>
      </c>
      <c r="D449">
        <f t="shared" ca="1" si="83"/>
        <v>1</v>
      </c>
      <c r="I449" s="42"/>
      <c r="J449" s="43"/>
      <c r="K449" s="43"/>
      <c r="L449" s="43"/>
      <c r="M449" s="43"/>
      <c r="N449" s="43"/>
      <c r="O449" s="43"/>
      <c r="P449" s="43"/>
      <c r="Q449" s="43"/>
      <c r="R449" s="43"/>
      <c r="S449" s="43"/>
      <c r="T449" s="43"/>
      <c r="U449" s="43"/>
      <c r="V449" s="43"/>
      <c r="W449" s="43"/>
      <c r="X449" s="43"/>
      <c r="Y449" s="43"/>
      <c r="Z449" s="43"/>
      <c r="AA449" s="44"/>
    </row>
    <row r="450" spans="1:27" x14ac:dyDescent="0.3">
      <c r="A450">
        <v>5</v>
      </c>
      <c r="B450">
        <f t="shared" ca="1" si="81"/>
        <v>1</v>
      </c>
      <c r="C450">
        <f t="shared" ca="1" si="82"/>
        <v>0</v>
      </c>
      <c r="D450">
        <f t="shared" ca="1" si="83"/>
        <v>0</v>
      </c>
      <c r="I450" s="42"/>
      <c r="J450" s="43"/>
      <c r="K450" s="43"/>
      <c r="L450" s="43"/>
      <c r="M450" s="43"/>
      <c r="N450" s="43"/>
      <c r="O450" s="43"/>
      <c r="P450" s="43"/>
      <c r="Q450" s="43"/>
      <c r="R450" s="43"/>
      <c r="S450" s="43"/>
      <c r="T450" s="43"/>
      <c r="U450" s="43"/>
      <c r="V450" s="43"/>
      <c r="W450" s="43"/>
      <c r="X450" s="43"/>
      <c r="Y450" s="43"/>
      <c r="Z450" s="43"/>
      <c r="AA450" s="44"/>
    </row>
    <row r="451" spans="1:27" x14ac:dyDescent="0.3">
      <c r="A451">
        <v>5</v>
      </c>
      <c r="B451">
        <f t="shared" ca="1" si="81"/>
        <v>0</v>
      </c>
      <c r="C451">
        <f t="shared" ca="1" si="82"/>
        <v>0</v>
      </c>
      <c r="D451">
        <f t="shared" ca="1" si="83"/>
        <v>1</v>
      </c>
      <c r="I451" s="42"/>
      <c r="J451" s="43"/>
      <c r="K451" s="43"/>
      <c r="L451" s="43"/>
      <c r="M451" s="43"/>
      <c r="N451" s="43"/>
      <c r="O451" s="43"/>
      <c r="P451" s="43"/>
      <c r="Q451" s="43"/>
      <c r="R451" s="43"/>
      <c r="S451" s="43"/>
      <c r="T451" s="43"/>
      <c r="U451" s="43"/>
      <c r="V451" s="43"/>
      <c r="W451" s="43"/>
      <c r="X451" s="43"/>
      <c r="Y451" s="43"/>
      <c r="Z451" s="43"/>
      <c r="AA451" s="44"/>
    </row>
    <row r="452" spans="1:27" x14ac:dyDescent="0.3">
      <c r="A452">
        <v>5</v>
      </c>
      <c r="B452">
        <f t="shared" ca="1" si="81"/>
        <v>1</v>
      </c>
      <c r="C452">
        <f t="shared" ca="1" si="82"/>
        <v>0</v>
      </c>
      <c r="D452">
        <f t="shared" ca="1" si="83"/>
        <v>0</v>
      </c>
      <c r="I452" s="42"/>
      <c r="J452" s="43"/>
      <c r="K452" s="43"/>
      <c r="L452" s="43"/>
      <c r="M452" s="43"/>
      <c r="N452" s="43"/>
      <c r="O452" s="43"/>
      <c r="P452" s="43"/>
      <c r="Q452" s="43"/>
      <c r="R452" s="43"/>
      <c r="S452" s="43"/>
      <c r="T452" s="43"/>
      <c r="U452" s="43"/>
      <c r="V452" s="43"/>
      <c r="W452" s="43"/>
      <c r="X452" s="43"/>
      <c r="Y452" s="43"/>
      <c r="Z452" s="43"/>
      <c r="AA452" s="44"/>
    </row>
    <row r="453" spans="1:27" x14ac:dyDescent="0.3">
      <c r="A453">
        <v>5</v>
      </c>
      <c r="B453">
        <f t="shared" ca="1" si="81"/>
        <v>0</v>
      </c>
      <c r="C453">
        <f t="shared" ca="1" si="82"/>
        <v>1</v>
      </c>
      <c r="D453">
        <f t="shared" ca="1" si="83"/>
        <v>0</v>
      </c>
      <c r="I453" s="42"/>
      <c r="J453" s="43"/>
      <c r="K453" s="43"/>
      <c r="L453" s="43"/>
      <c r="M453" s="43"/>
      <c r="N453" s="43"/>
      <c r="O453" s="43"/>
      <c r="P453" s="43"/>
      <c r="Q453" s="43"/>
      <c r="R453" s="43"/>
      <c r="S453" s="43"/>
      <c r="T453" s="43"/>
      <c r="U453" s="43"/>
      <c r="V453" s="43"/>
      <c r="W453" s="43"/>
      <c r="X453" s="43"/>
      <c r="Y453" s="43"/>
      <c r="Z453" s="43"/>
      <c r="AA453" s="44"/>
    </row>
    <row r="454" spans="1:27" x14ac:dyDescent="0.3">
      <c r="A454">
        <v>5</v>
      </c>
      <c r="B454">
        <f t="shared" ca="1" si="81"/>
        <v>0</v>
      </c>
      <c r="C454">
        <f t="shared" ca="1" si="82"/>
        <v>1</v>
      </c>
      <c r="D454">
        <f t="shared" ca="1" si="83"/>
        <v>0</v>
      </c>
      <c r="I454" s="42"/>
      <c r="J454" s="43"/>
      <c r="K454" s="43"/>
      <c r="L454" s="43"/>
      <c r="M454" s="43"/>
      <c r="N454" s="43"/>
      <c r="O454" s="43"/>
      <c r="P454" s="43"/>
      <c r="Q454" s="43"/>
      <c r="R454" s="43"/>
      <c r="S454" s="43"/>
      <c r="T454" s="43"/>
      <c r="U454" s="43"/>
      <c r="V454" s="43"/>
      <c r="W454" s="43"/>
      <c r="X454" s="43"/>
      <c r="Y454" s="43"/>
      <c r="Z454" s="43"/>
      <c r="AA454" s="44"/>
    </row>
    <row r="455" spans="1:27" x14ac:dyDescent="0.3">
      <c r="A455">
        <v>5</v>
      </c>
      <c r="B455">
        <f t="shared" ca="1" si="81"/>
        <v>0</v>
      </c>
      <c r="C455">
        <f t="shared" ca="1" si="82"/>
        <v>1</v>
      </c>
      <c r="D455">
        <f t="shared" ca="1" si="83"/>
        <v>0</v>
      </c>
      <c r="I455" s="42"/>
      <c r="J455" s="43"/>
      <c r="K455" s="43"/>
      <c r="L455" s="43"/>
      <c r="M455" s="43"/>
      <c r="N455" s="43"/>
      <c r="O455" s="43"/>
      <c r="P455" s="43"/>
      <c r="Q455" s="43"/>
      <c r="R455" s="43"/>
      <c r="S455" s="43"/>
      <c r="T455" s="43"/>
      <c r="U455" s="43"/>
      <c r="V455" s="43"/>
      <c r="W455" s="43"/>
      <c r="X455" s="43"/>
      <c r="Y455" s="43"/>
      <c r="Z455" s="43"/>
      <c r="AA455" s="44"/>
    </row>
    <row r="456" spans="1:27" x14ac:dyDescent="0.3">
      <c r="A456">
        <v>5</v>
      </c>
      <c r="B456">
        <f t="shared" ca="1" si="81"/>
        <v>0</v>
      </c>
      <c r="C456">
        <f t="shared" ca="1" si="82"/>
        <v>0</v>
      </c>
      <c r="D456">
        <f t="shared" ca="1" si="83"/>
        <v>1</v>
      </c>
      <c r="I456" s="42"/>
      <c r="J456" s="43"/>
      <c r="K456" s="43"/>
      <c r="L456" s="43"/>
      <c r="M456" s="43"/>
      <c r="N456" s="43"/>
      <c r="O456" s="43"/>
      <c r="P456" s="43"/>
      <c r="Q456" s="43"/>
      <c r="R456" s="43"/>
      <c r="S456" s="43"/>
      <c r="T456" s="43"/>
      <c r="U456" s="43"/>
      <c r="V456" s="43"/>
      <c r="W456" s="43"/>
      <c r="X456" s="43"/>
      <c r="Y456" s="43"/>
      <c r="Z456" s="43"/>
      <c r="AA456" s="44"/>
    </row>
    <row r="457" spans="1:27" x14ac:dyDescent="0.3">
      <c r="A457">
        <v>5</v>
      </c>
      <c r="B457">
        <f t="shared" ca="1" si="81"/>
        <v>0</v>
      </c>
      <c r="C457">
        <f t="shared" ca="1" si="82"/>
        <v>0</v>
      </c>
      <c r="D457">
        <f t="shared" ca="1" si="83"/>
        <v>1</v>
      </c>
      <c r="I457" s="42"/>
      <c r="J457" s="43"/>
      <c r="K457" s="43"/>
      <c r="L457" s="43"/>
      <c r="M457" s="43"/>
      <c r="N457" s="43"/>
      <c r="O457" s="43"/>
      <c r="P457" s="43"/>
      <c r="Q457" s="43"/>
      <c r="R457" s="43"/>
      <c r="S457" s="43"/>
      <c r="T457" s="43"/>
      <c r="U457" s="43"/>
      <c r="V457" s="43"/>
      <c r="W457" s="43"/>
      <c r="X457" s="43"/>
      <c r="Y457" s="43"/>
      <c r="Z457" s="43"/>
      <c r="AA457" s="44"/>
    </row>
    <row r="458" spans="1:27" x14ac:dyDescent="0.3">
      <c r="A458">
        <v>5</v>
      </c>
      <c r="B458">
        <f t="shared" ca="1" si="81"/>
        <v>0</v>
      </c>
      <c r="C458">
        <f t="shared" ca="1" si="82"/>
        <v>0</v>
      </c>
      <c r="D458">
        <f t="shared" ca="1" si="83"/>
        <v>1</v>
      </c>
      <c r="I458" s="42"/>
      <c r="J458" s="43"/>
      <c r="K458" s="43"/>
      <c r="L458" s="43"/>
      <c r="M458" s="43"/>
      <c r="N458" s="43"/>
      <c r="O458" s="43"/>
      <c r="P458" s="43"/>
      <c r="Q458" s="43"/>
      <c r="R458" s="43"/>
      <c r="S458" s="43"/>
      <c r="T458" s="43"/>
      <c r="U458" s="43"/>
      <c r="V458" s="43"/>
      <c r="W458" s="43"/>
      <c r="X458" s="43"/>
      <c r="Y458" s="43"/>
      <c r="Z458" s="43"/>
      <c r="AA458" s="44"/>
    </row>
    <row r="459" spans="1:27" x14ac:dyDescent="0.3">
      <c r="A459">
        <v>4</v>
      </c>
      <c r="B459">
        <f t="shared" ca="1" si="81"/>
        <v>1</v>
      </c>
      <c r="C459">
        <f t="shared" ca="1" si="82"/>
        <v>0</v>
      </c>
      <c r="D459">
        <f t="shared" ca="1" si="83"/>
        <v>0</v>
      </c>
      <c r="I459" s="42"/>
      <c r="J459" s="43"/>
      <c r="K459" s="43"/>
      <c r="L459" s="43"/>
      <c r="M459" s="43"/>
      <c r="N459" s="43"/>
      <c r="O459" s="43"/>
      <c r="P459" s="43"/>
      <c r="Q459" s="43"/>
      <c r="R459" s="43"/>
      <c r="S459" s="43"/>
      <c r="T459" s="43"/>
      <c r="U459" s="43"/>
      <c r="V459" s="43"/>
      <c r="W459" s="43"/>
      <c r="X459" s="43"/>
      <c r="Y459" s="43"/>
      <c r="Z459" s="43"/>
      <c r="AA459" s="44"/>
    </row>
    <row r="460" spans="1:27" x14ac:dyDescent="0.3">
      <c r="A460">
        <v>4</v>
      </c>
      <c r="B460">
        <f t="shared" ca="1" si="81"/>
        <v>0</v>
      </c>
      <c r="C460">
        <f t="shared" ca="1" si="82"/>
        <v>0</v>
      </c>
      <c r="D460">
        <f t="shared" ca="1" si="83"/>
        <v>1</v>
      </c>
      <c r="I460" s="42"/>
      <c r="J460" s="43"/>
      <c r="K460" s="43"/>
      <c r="L460" s="43"/>
      <c r="M460" s="43"/>
      <c r="N460" s="43"/>
      <c r="O460" s="43"/>
      <c r="P460" s="43"/>
      <c r="Q460" s="43"/>
      <c r="R460" s="43"/>
      <c r="S460" s="43"/>
      <c r="T460" s="43"/>
      <c r="U460" s="43"/>
      <c r="V460" s="43"/>
      <c r="W460" s="43"/>
      <c r="X460" s="43"/>
      <c r="Y460" s="43"/>
      <c r="Z460" s="43"/>
      <c r="AA460" s="44"/>
    </row>
    <row r="461" spans="1:27" x14ac:dyDescent="0.3">
      <c r="A461">
        <v>4</v>
      </c>
      <c r="B461">
        <f t="shared" ca="1" si="81"/>
        <v>0</v>
      </c>
      <c r="C461">
        <f t="shared" ca="1" si="82"/>
        <v>1</v>
      </c>
      <c r="D461">
        <f t="shared" ca="1" si="83"/>
        <v>0</v>
      </c>
      <c r="I461" s="42"/>
      <c r="J461" s="43"/>
      <c r="K461" s="43"/>
      <c r="L461" s="43"/>
      <c r="M461" s="43"/>
      <c r="N461" s="43"/>
      <c r="O461" s="43"/>
      <c r="P461" s="43"/>
      <c r="Q461" s="43"/>
      <c r="R461" s="43"/>
      <c r="S461" s="43"/>
      <c r="T461" s="43"/>
      <c r="U461" s="43"/>
      <c r="V461" s="43"/>
      <c r="W461" s="43"/>
      <c r="X461" s="43"/>
      <c r="Y461" s="43"/>
      <c r="Z461" s="43"/>
      <c r="AA461" s="44"/>
    </row>
    <row r="462" spans="1:27" x14ac:dyDescent="0.3">
      <c r="A462">
        <v>4</v>
      </c>
      <c r="B462">
        <f t="shared" ca="1" si="81"/>
        <v>0</v>
      </c>
      <c r="C462">
        <f t="shared" ca="1" si="82"/>
        <v>1</v>
      </c>
      <c r="D462">
        <f t="shared" ca="1" si="83"/>
        <v>0</v>
      </c>
      <c r="I462" s="42"/>
      <c r="J462" s="43"/>
      <c r="K462" s="43"/>
      <c r="L462" s="43"/>
      <c r="M462" s="43"/>
      <c r="N462" s="43"/>
      <c r="O462" s="43"/>
      <c r="P462" s="43"/>
      <c r="Q462" s="43"/>
      <c r="R462" s="43"/>
      <c r="S462" s="43"/>
      <c r="T462" s="43"/>
      <c r="U462" s="43"/>
      <c r="V462" s="43"/>
      <c r="W462" s="43"/>
      <c r="X462" s="43"/>
      <c r="Y462" s="43"/>
      <c r="Z462" s="43"/>
      <c r="AA462" s="44"/>
    </row>
    <row r="463" spans="1:27" x14ac:dyDescent="0.3">
      <c r="A463">
        <v>4</v>
      </c>
      <c r="B463">
        <f t="shared" ca="1" si="81"/>
        <v>1</v>
      </c>
      <c r="C463">
        <f t="shared" ca="1" si="82"/>
        <v>0</v>
      </c>
      <c r="D463">
        <f t="shared" ca="1" si="83"/>
        <v>0</v>
      </c>
      <c r="I463" s="42"/>
      <c r="J463" s="43"/>
      <c r="K463" s="43"/>
      <c r="L463" s="43"/>
      <c r="M463" s="43"/>
      <c r="N463" s="43"/>
      <c r="O463" s="43"/>
      <c r="P463" s="43"/>
      <c r="Q463" s="43"/>
      <c r="R463" s="43"/>
      <c r="S463" s="43"/>
      <c r="T463" s="43"/>
      <c r="U463" s="43"/>
      <c r="V463" s="43"/>
      <c r="W463" s="43"/>
      <c r="X463" s="43"/>
      <c r="Y463" s="43"/>
      <c r="Z463" s="43"/>
      <c r="AA463" s="44"/>
    </row>
    <row r="464" spans="1:27" x14ac:dyDescent="0.3">
      <c r="A464">
        <v>4</v>
      </c>
      <c r="B464">
        <f t="shared" ca="1" si="81"/>
        <v>0</v>
      </c>
      <c r="C464">
        <f t="shared" ca="1" si="82"/>
        <v>0</v>
      </c>
      <c r="D464">
        <f t="shared" ca="1" si="83"/>
        <v>1</v>
      </c>
      <c r="I464" s="42"/>
      <c r="J464" s="43"/>
      <c r="K464" s="43"/>
      <c r="L464" s="43"/>
      <c r="M464" s="43"/>
      <c r="N464" s="43"/>
      <c r="O464" s="43"/>
      <c r="P464" s="43"/>
      <c r="Q464" s="43"/>
      <c r="R464" s="43"/>
      <c r="S464" s="43"/>
      <c r="T464" s="43"/>
      <c r="U464" s="43"/>
      <c r="V464" s="43"/>
      <c r="W464" s="43"/>
      <c r="X464" s="43"/>
      <c r="Y464" s="43"/>
      <c r="Z464" s="43"/>
      <c r="AA464" s="44"/>
    </row>
    <row r="465" spans="1:27" x14ac:dyDescent="0.3">
      <c r="A465">
        <v>4</v>
      </c>
      <c r="B465">
        <f t="shared" ca="1" si="81"/>
        <v>0</v>
      </c>
      <c r="C465">
        <f t="shared" ca="1" si="82"/>
        <v>0</v>
      </c>
      <c r="D465">
        <f t="shared" ca="1" si="83"/>
        <v>1</v>
      </c>
      <c r="I465" s="42"/>
      <c r="J465" s="43"/>
      <c r="K465" s="43"/>
      <c r="L465" s="43"/>
      <c r="M465" s="43"/>
      <c r="N465" s="43"/>
      <c r="O465" s="43"/>
      <c r="P465" s="43"/>
      <c r="Q465" s="43"/>
      <c r="R465" s="43"/>
      <c r="S465" s="43"/>
      <c r="T465" s="43"/>
      <c r="U465" s="43"/>
      <c r="V465" s="43"/>
      <c r="W465" s="43"/>
      <c r="X465" s="43"/>
      <c r="Y465" s="43"/>
      <c r="Z465" s="43"/>
      <c r="AA465" s="44"/>
    </row>
    <row r="466" spans="1:27" x14ac:dyDescent="0.3">
      <c r="A466">
        <v>4</v>
      </c>
      <c r="B466">
        <f t="shared" ca="1" si="81"/>
        <v>0</v>
      </c>
      <c r="C466">
        <f t="shared" ca="1" si="82"/>
        <v>0</v>
      </c>
      <c r="D466">
        <f t="shared" ca="1" si="83"/>
        <v>1</v>
      </c>
      <c r="I466" s="42"/>
      <c r="J466" s="43"/>
      <c r="K466" s="43"/>
      <c r="L466" s="43"/>
      <c r="M466" s="43"/>
      <c r="N466" s="43"/>
      <c r="O466" s="43"/>
      <c r="P466" s="43"/>
      <c r="Q466" s="43"/>
      <c r="R466" s="43"/>
      <c r="S466" s="43"/>
      <c r="T466" s="43"/>
      <c r="U466" s="43"/>
      <c r="V466" s="43"/>
      <c r="W466" s="43"/>
      <c r="X466" s="43"/>
      <c r="Y466" s="43"/>
      <c r="Z466" s="43"/>
      <c r="AA466" s="44"/>
    </row>
    <row r="467" spans="1:27" x14ac:dyDescent="0.3">
      <c r="A467">
        <v>4</v>
      </c>
      <c r="B467">
        <f t="shared" ca="1" si="81"/>
        <v>0</v>
      </c>
      <c r="C467">
        <f t="shared" ca="1" si="82"/>
        <v>1</v>
      </c>
      <c r="D467">
        <f t="shared" ca="1" si="83"/>
        <v>0</v>
      </c>
      <c r="I467" s="42"/>
      <c r="J467" s="43"/>
      <c r="K467" s="43"/>
      <c r="L467" s="43"/>
      <c r="M467" s="43"/>
      <c r="N467" s="43"/>
      <c r="O467" s="43"/>
      <c r="P467" s="43"/>
      <c r="Q467" s="43"/>
      <c r="R467" s="43"/>
      <c r="S467" s="43"/>
      <c r="T467" s="43"/>
      <c r="U467" s="43"/>
      <c r="V467" s="43"/>
      <c r="W467" s="43"/>
      <c r="X467" s="43"/>
      <c r="Y467" s="43"/>
      <c r="Z467" s="43"/>
      <c r="AA467" s="44"/>
    </row>
    <row r="468" spans="1:27" x14ac:dyDescent="0.3">
      <c r="A468">
        <v>4</v>
      </c>
      <c r="B468">
        <f t="shared" ca="1" si="81"/>
        <v>1</v>
      </c>
      <c r="C468">
        <f t="shared" ca="1" si="82"/>
        <v>0</v>
      </c>
      <c r="D468">
        <f t="shared" ca="1" si="83"/>
        <v>0</v>
      </c>
      <c r="I468" s="42"/>
      <c r="J468" s="43"/>
      <c r="K468" s="43"/>
      <c r="L468" s="43"/>
      <c r="M468" s="43"/>
      <c r="N468" s="43"/>
      <c r="O468" s="43"/>
      <c r="P468" s="43"/>
      <c r="Q468" s="43"/>
      <c r="R468" s="43"/>
      <c r="S468" s="43"/>
      <c r="T468" s="43"/>
      <c r="U468" s="43"/>
      <c r="V468" s="43"/>
      <c r="W468" s="43"/>
      <c r="X468" s="43"/>
      <c r="Y468" s="43"/>
      <c r="Z468" s="43"/>
      <c r="AA468" s="44"/>
    </row>
    <row r="469" spans="1:27" x14ac:dyDescent="0.3">
      <c r="A469">
        <v>4</v>
      </c>
      <c r="B469">
        <f t="shared" ca="1" si="81"/>
        <v>0</v>
      </c>
      <c r="C469">
        <f t="shared" ca="1" si="82"/>
        <v>0</v>
      </c>
      <c r="D469">
        <f t="shared" ca="1" si="83"/>
        <v>1</v>
      </c>
      <c r="I469" s="42"/>
      <c r="J469" s="43"/>
      <c r="K469" s="43"/>
      <c r="L469" s="43"/>
      <c r="M469" s="43"/>
      <c r="N469" s="43"/>
      <c r="O469" s="43"/>
      <c r="P469" s="43"/>
      <c r="Q469" s="43"/>
      <c r="R469" s="43"/>
      <c r="S469" s="43"/>
      <c r="T469" s="43"/>
      <c r="U469" s="43"/>
      <c r="V469" s="43"/>
      <c r="W469" s="43"/>
      <c r="X469" s="43"/>
      <c r="Y469" s="43"/>
      <c r="Z469" s="43"/>
      <c r="AA469" s="44"/>
    </row>
    <row r="470" spans="1:27" x14ac:dyDescent="0.3">
      <c r="A470">
        <v>3</v>
      </c>
      <c r="B470">
        <f t="shared" ca="1" si="81"/>
        <v>0</v>
      </c>
      <c r="C470">
        <f t="shared" ca="1" si="82"/>
        <v>0</v>
      </c>
      <c r="D470">
        <f t="shared" ca="1" si="83"/>
        <v>1</v>
      </c>
      <c r="I470" s="42"/>
      <c r="J470" s="54" t="s">
        <v>2225</v>
      </c>
      <c r="K470" s="54"/>
      <c r="L470" s="54"/>
      <c r="M470" s="54"/>
      <c r="N470" s="54"/>
      <c r="O470" s="54"/>
      <c r="P470" s="54"/>
      <c r="Q470" s="43"/>
      <c r="R470" s="43"/>
      <c r="S470" s="43"/>
      <c r="T470" s="43"/>
      <c r="U470" s="43"/>
      <c r="V470" s="43"/>
      <c r="W470" s="43"/>
      <c r="X470" s="43"/>
      <c r="Y470" s="43"/>
      <c r="Z470" s="43"/>
      <c r="AA470" s="44"/>
    </row>
    <row r="471" spans="1:27" x14ac:dyDescent="0.3">
      <c r="A471">
        <v>3</v>
      </c>
      <c r="B471">
        <f t="shared" ca="1" si="81"/>
        <v>1</v>
      </c>
      <c r="C471">
        <f t="shared" ca="1" si="82"/>
        <v>0</v>
      </c>
      <c r="D471">
        <f t="shared" ca="1" si="83"/>
        <v>0</v>
      </c>
      <c r="I471" s="42" t="s">
        <v>2226</v>
      </c>
      <c r="J471" s="45">
        <f ca="1">AVERAGEIFS($E$2:$E$363, $F$2:$F$363, "=1", AK$2:AK$363,  "=1")</f>
        <v>5.129032258064516</v>
      </c>
      <c r="K471" s="43"/>
      <c r="L471" s="43"/>
      <c r="M471" s="43"/>
      <c r="N471" s="43"/>
      <c r="O471" s="43"/>
      <c r="P471" s="43"/>
      <c r="Q471" s="43"/>
      <c r="R471" s="43"/>
      <c r="S471" s="43"/>
      <c r="T471" s="43"/>
      <c r="U471" s="43"/>
      <c r="V471" s="43"/>
      <c r="W471" s="43"/>
      <c r="X471" s="43"/>
      <c r="Y471" s="43"/>
      <c r="Z471" s="43"/>
      <c r="AA471" s="44"/>
    </row>
    <row r="472" spans="1:27" x14ac:dyDescent="0.3">
      <c r="A472">
        <v>3</v>
      </c>
      <c r="B472">
        <f t="shared" ca="1" si="81"/>
        <v>1</v>
      </c>
      <c r="C472">
        <f t="shared" ca="1" si="82"/>
        <v>0</v>
      </c>
      <c r="D472">
        <f t="shared" ca="1" si="83"/>
        <v>0</v>
      </c>
      <c r="I472" s="42" t="s">
        <v>2227</v>
      </c>
      <c r="J472" s="45">
        <f ca="1">AVERAGEIFS($E$2:$E$363, $F$2:$F$363, "=1", AL$2:AL$363,  "=1")</f>
        <v>3.657142857142857</v>
      </c>
      <c r="K472" s="43"/>
      <c r="L472" s="43"/>
      <c r="M472" s="43"/>
      <c r="N472" s="43"/>
      <c r="O472" s="43"/>
      <c r="P472" s="43"/>
      <c r="Q472" s="43"/>
      <c r="R472" s="43"/>
      <c r="S472" s="43"/>
      <c r="T472" s="43"/>
      <c r="U472" s="43"/>
      <c r="V472" s="43"/>
      <c r="W472" s="43"/>
      <c r="X472" s="43"/>
      <c r="Y472" s="43"/>
      <c r="Z472" s="43"/>
      <c r="AA472" s="44"/>
    </row>
    <row r="473" spans="1:27" x14ac:dyDescent="0.3">
      <c r="A473">
        <v>3</v>
      </c>
      <c r="B473">
        <f t="shared" ca="1" si="81"/>
        <v>0</v>
      </c>
      <c r="C473">
        <f t="shared" ca="1" si="82"/>
        <v>0</v>
      </c>
      <c r="D473">
        <f t="shared" ca="1" si="83"/>
        <v>1</v>
      </c>
      <c r="I473" s="42"/>
      <c r="J473" s="54" t="s">
        <v>2228</v>
      </c>
      <c r="K473" s="54"/>
      <c r="L473" s="54"/>
      <c r="M473" s="43"/>
      <c r="N473" s="43"/>
      <c r="O473" s="43"/>
      <c r="P473" s="43"/>
      <c r="Q473" s="43"/>
      <c r="R473" s="43"/>
      <c r="S473" s="43"/>
      <c r="T473" s="43"/>
      <c r="U473" s="43"/>
      <c r="V473" s="43"/>
      <c r="W473" s="43"/>
      <c r="X473" s="43"/>
      <c r="Y473" s="43"/>
      <c r="Z473" s="43"/>
      <c r="AA473" s="44"/>
    </row>
    <row r="474" spans="1:27" x14ac:dyDescent="0.3">
      <c r="A474">
        <v>3</v>
      </c>
      <c r="B474">
        <f t="shared" ca="1" si="81"/>
        <v>0</v>
      </c>
      <c r="C474">
        <f t="shared" ca="1" si="82"/>
        <v>0</v>
      </c>
      <c r="D474">
        <f t="shared" ca="1" si="83"/>
        <v>1</v>
      </c>
      <c r="I474" s="42" t="s">
        <v>2226</v>
      </c>
      <c r="J474" s="46">
        <f ca="1">(SUMIFS(AK$2:AK$363, $F$2:$F$363, "&gt;1", AK$2:AK$363,  "&gt;0"))/(SUMIF($F$2:$F$363, "&gt;1", $F$2:$F$363))</f>
        <v>0.33570581257413995</v>
      </c>
      <c r="K474" s="43"/>
      <c r="L474" s="43"/>
      <c r="M474" s="43"/>
      <c r="N474" s="43"/>
      <c r="O474" s="43"/>
      <c r="P474" s="43"/>
      <c r="Q474" s="43"/>
      <c r="R474" s="43"/>
      <c r="S474" s="43"/>
      <c r="T474" s="43"/>
      <c r="U474" s="43"/>
      <c r="V474" s="43"/>
      <c r="W474" s="43"/>
      <c r="X474" s="43"/>
      <c r="Y474" s="43"/>
      <c r="Z474" s="43"/>
      <c r="AA474" s="44"/>
    </row>
    <row r="475" spans="1:27" x14ac:dyDescent="0.3">
      <c r="A475">
        <v>3</v>
      </c>
      <c r="B475">
        <f t="shared" ca="1" si="81"/>
        <v>0</v>
      </c>
      <c r="C475">
        <f t="shared" ca="1" si="82"/>
        <v>1</v>
      </c>
      <c r="D475">
        <f t="shared" ca="1" si="83"/>
        <v>0</v>
      </c>
      <c r="I475" s="42" t="s">
        <v>2227</v>
      </c>
      <c r="J475" s="46">
        <f ca="1">(SUMIFS(AL$2:AL$363, $F$2:$F$363, "&gt;1", AL$2:AL$363,  "&gt;0"))/(SUMIF($F$2:$F$363, "&gt;1", $F$2:$F$363))</f>
        <v>0.28706998813760382</v>
      </c>
      <c r="K475" s="43"/>
      <c r="L475" s="43"/>
      <c r="M475" s="43"/>
      <c r="N475" s="43"/>
      <c r="O475" s="43"/>
      <c r="P475" s="43"/>
      <c r="Q475" s="43"/>
      <c r="R475" s="43"/>
      <c r="S475" s="43"/>
      <c r="T475" s="43"/>
      <c r="U475" s="43"/>
      <c r="V475" s="43"/>
      <c r="W475" s="43"/>
      <c r="X475" s="43"/>
      <c r="Y475" s="43"/>
      <c r="Z475" s="43"/>
      <c r="AA475" s="44"/>
    </row>
    <row r="476" spans="1:27" x14ac:dyDescent="0.3">
      <c r="A476">
        <v>3</v>
      </c>
      <c r="B476">
        <f t="shared" ca="1" si="81"/>
        <v>1</v>
      </c>
      <c r="C476">
        <f t="shared" ca="1" si="82"/>
        <v>0</v>
      </c>
      <c r="D476">
        <f t="shared" ca="1" si="83"/>
        <v>0</v>
      </c>
      <c r="I476" s="42"/>
      <c r="J476" s="43"/>
      <c r="K476" s="43"/>
      <c r="L476" s="43"/>
      <c r="M476" s="43"/>
      <c r="N476" s="43"/>
      <c r="O476" s="43"/>
      <c r="P476" s="43"/>
      <c r="Q476" s="43"/>
      <c r="R476" s="43"/>
      <c r="S476" s="43"/>
      <c r="T476" s="43"/>
      <c r="U476" s="43"/>
      <c r="V476" s="43"/>
      <c r="W476" s="43"/>
      <c r="X476" s="43"/>
      <c r="Y476" s="43"/>
      <c r="Z476" s="43"/>
      <c r="AA476" s="44"/>
    </row>
    <row r="477" spans="1:27" x14ac:dyDescent="0.3">
      <c r="A477">
        <v>3</v>
      </c>
      <c r="B477">
        <f t="shared" ca="1" si="81"/>
        <v>0</v>
      </c>
      <c r="C477">
        <f t="shared" ca="1" si="82"/>
        <v>1</v>
      </c>
      <c r="D477">
        <f t="shared" ca="1" si="83"/>
        <v>0</v>
      </c>
      <c r="I477" s="42"/>
      <c r="J477" s="43"/>
      <c r="K477" s="43"/>
      <c r="L477" s="43"/>
      <c r="M477" s="43"/>
      <c r="N477" s="43"/>
      <c r="O477" s="43"/>
      <c r="P477" s="43"/>
      <c r="Q477" s="43"/>
      <c r="R477" s="43"/>
      <c r="S477" s="43"/>
      <c r="T477" s="43"/>
      <c r="U477" s="43"/>
      <c r="V477" s="43"/>
      <c r="W477" s="43"/>
      <c r="X477" s="43"/>
      <c r="Y477" s="43"/>
      <c r="Z477" s="43"/>
      <c r="AA477" s="44"/>
    </row>
    <row r="478" spans="1:27" ht="15" thickBot="1" x14ac:dyDescent="0.35">
      <c r="A478">
        <v>3</v>
      </c>
      <c r="B478">
        <f t="shared" ca="1" si="81"/>
        <v>1</v>
      </c>
      <c r="C478">
        <f t="shared" ca="1" si="82"/>
        <v>0</v>
      </c>
      <c r="D478">
        <f t="shared" ca="1" si="83"/>
        <v>0</v>
      </c>
      <c r="I478" s="42"/>
      <c r="J478" s="43"/>
      <c r="K478" s="43"/>
      <c r="L478" s="43"/>
      <c r="M478" s="43"/>
      <c r="N478" s="53" t="s">
        <v>2230</v>
      </c>
      <c r="O478" s="53"/>
      <c r="P478" s="53"/>
      <c r="Q478" s="53"/>
      <c r="R478" s="43"/>
      <c r="S478" s="43"/>
      <c r="T478" s="43"/>
      <c r="U478" s="43"/>
      <c r="V478" s="43"/>
      <c r="W478" s="43"/>
      <c r="X478" s="43"/>
      <c r="Y478" s="43"/>
      <c r="Z478" s="43"/>
      <c r="AA478" s="44"/>
    </row>
    <row r="479" spans="1:27" x14ac:dyDescent="0.3">
      <c r="A479">
        <v>3</v>
      </c>
      <c r="B479">
        <f t="shared" ca="1" si="81"/>
        <v>0</v>
      </c>
      <c r="C479">
        <f t="shared" ca="1" si="82"/>
        <v>0</v>
      </c>
      <c r="D479">
        <f t="shared" ca="1" si="83"/>
        <v>1</v>
      </c>
      <c r="I479" s="42"/>
      <c r="J479" s="43"/>
      <c r="K479" s="43"/>
      <c r="L479" s="7" t="s">
        <v>2171</v>
      </c>
      <c r="M479" s="8"/>
      <c r="N479" s="16" t="s">
        <v>2172</v>
      </c>
      <c r="O479" s="16" t="s">
        <v>2173</v>
      </c>
      <c r="P479" s="24" t="s">
        <v>2187</v>
      </c>
      <c r="Q479" s="16" t="s">
        <v>2177</v>
      </c>
      <c r="R479" s="24" t="s">
        <v>2197</v>
      </c>
      <c r="S479" s="24" t="s">
        <v>2198</v>
      </c>
      <c r="T479" s="24" t="s">
        <v>2199</v>
      </c>
      <c r="U479" s="29" t="s">
        <v>2201</v>
      </c>
      <c r="V479" s="29" t="s">
        <v>2202</v>
      </c>
      <c r="W479" s="29" t="s">
        <v>2203</v>
      </c>
      <c r="X479" s="43"/>
      <c r="Y479" s="43"/>
      <c r="Z479" s="43"/>
      <c r="AA479" s="44"/>
    </row>
    <row r="480" spans="1:27" x14ac:dyDescent="0.3">
      <c r="A480">
        <v>3</v>
      </c>
      <c r="B480">
        <f t="shared" ca="1" si="81"/>
        <v>0</v>
      </c>
      <c r="C480">
        <f t="shared" ca="1" si="82"/>
        <v>1</v>
      </c>
      <c r="D480">
        <f t="shared" ca="1" si="83"/>
        <v>0</v>
      </c>
      <c r="I480" s="42"/>
      <c r="J480" s="43"/>
      <c r="K480" s="43"/>
      <c r="L480" s="9"/>
      <c r="M480" s="5">
        <v>2015</v>
      </c>
      <c r="N480" s="12">
        <f ca="1">SUMIFS($AS$2:$AS$363,AN$2:AN$363,1,$D$2:$D$363,2015)</f>
        <v>0.82424242424242422</v>
      </c>
      <c r="O480" s="12">
        <f t="shared" ref="O480" ca="1" si="84">SUMIFS($AS$2:$AS$363,AO$2:AO$363,1,$D$2:$D$363,2015)</f>
        <v>1.0357142857142858</v>
      </c>
      <c r="P480" s="12">
        <f ca="1">SUMIFS($AS$2:$AS$363,AQ$2:AQ$363,1,$D$2:$D$363,2015)</f>
        <v>0.78285714285714292</v>
      </c>
      <c r="Q480" s="12">
        <f t="shared" ref="Q480:Q486" ca="1" si="85">SUM(N480:P480)</f>
        <v>2.6428138528138527</v>
      </c>
      <c r="R480" s="27">
        <f ca="1">$Q480/N480</f>
        <v>3.2063550420168068</v>
      </c>
      <c r="S480" s="27">
        <f t="shared" ref="S480:T486" ca="1" si="86">$Q480/O480</f>
        <v>2.5516823406478575</v>
      </c>
      <c r="T480" s="27">
        <f t="shared" ca="1" si="86"/>
        <v>3.3758571112585707</v>
      </c>
      <c r="U480" s="45">
        <f t="array" aca="1" ref="U480" ca="1">MEDIAN(IF($D$2:$D$363=2015, IF(AN$2:AN$363=1, $AS$2:$AS$363)))</f>
        <v>0.2</v>
      </c>
      <c r="V480" s="45">
        <f t="array" aca="1" ref="V480" ca="1">MEDIAN(IF($D$2:$D$363=2015, IF(AO$2:AO$363=1, $AS$2:$AS$363)))</f>
        <v>0</v>
      </c>
      <c r="W480" s="45">
        <f t="array" aca="1" ref="W480" ca="1">MEDIAN(IF($D$2:$D$363=2015, IF(AQ$2:AQ$363=1, $AS$2:$AS$363)))</f>
        <v>0</v>
      </c>
      <c r="X480" s="43"/>
      <c r="Y480" s="43"/>
      <c r="Z480" s="43"/>
      <c r="AA480" s="44"/>
    </row>
    <row r="481" spans="1:27" x14ac:dyDescent="0.3">
      <c r="A481">
        <v>3</v>
      </c>
      <c r="B481">
        <f t="shared" ca="1" si="81"/>
        <v>0</v>
      </c>
      <c r="C481">
        <f t="shared" ca="1" si="82"/>
        <v>1</v>
      </c>
      <c r="D481">
        <f t="shared" ca="1" si="83"/>
        <v>0</v>
      </c>
      <c r="I481" s="42"/>
      <c r="J481" s="43"/>
      <c r="K481" s="43"/>
      <c r="L481" s="9"/>
      <c r="M481" s="5">
        <v>2016</v>
      </c>
      <c r="N481" s="12">
        <f ca="1">SUMIFS($AS$2:$AS$363,AN$2:AN$363,1,$D$2:$D$363,2016)</f>
        <v>0.77142857142857146</v>
      </c>
      <c r="O481" s="12">
        <f ca="1">SUMIFS($AS$2:$AS$363,AO$2:AO$363,1,$D$2:$D$363,2016)</f>
        <v>0.13030303030303031</v>
      </c>
      <c r="P481" s="12">
        <f ca="1">SUMIFS($AS$2:$AS$363,AQ$2:AQ$363,1,$D$2:$D$363,2016)</f>
        <v>1.9928563064857787</v>
      </c>
      <c r="Q481" s="12">
        <f t="shared" ca="1" si="85"/>
        <v>2.8945879082173804</v>
      </c>
      <c r="R481" s="27">
        <f t="shared" ref="R481:R486" ca="1" si="87">$Q481/N481</f>
        <v>3.7522435847262336</v>
      </c>
      <c r="S481" s="27">
        <f t="shared" ca="1" si="86"/>
        <v>22.214279295621754</v>
      </c>
      <c r="T481" s="27">
        <f t="shared" ca="1" si="86"/>
        <v>1.4524819972202228</v>
      </c>
      <c r="U481" s="45">
        <f t="array" aca="1" ref="U481" ca="1">MEDIAN(IF($D$2:$D$363=2016, IF(AN$2:AN$363=1, $AS$2:$AS$363)))</f>
        <v>3.5714285714285712E-2</v>
      </c>
      <c r="V481" s="45">
        <f t="array" aca="1" ref="V481" ca="1">MEDIAN(IF($D$2:$D$363=2016, IF(AO$2:AO$363=1, $AS$2:$AS$363)))</f>
        <v>6.5151515151515155E-2</v>
      </c>
      <c r="W481" s="45">
        <f t="array" aca="1" ref="W481" ca="1">MEDIAN(IF($D$2:$D$363=2016, IF(AQ$2:AQ$363=1, $AS$2:$AS$363)))</f>
        <v>0</v>
      </c>
      <c r="X481" s="43"/>
      <c r="Y481" s="43"/>
      <c r="Z481" s="43"/>
      <c r="AA481" s="44"/>
    </row>
    <row r="482" spans="1:27" x14ac:dyDescent="0.3">
      <c r="A482">
        <v>3</v>
      </c>
      <c r="B482">
        <f t="shared" ca="1" si="81"/>
        <v>0</v>
      </c>
      <c r="C482">
        <f t="shared" ca="1" si="82"/>
        <v>0</v>
      </c>
      <c r="D482">
        <f t="shared" ca="1" si="83"/>
        <v>1</v>
      </c>
      <c r="I482" s="42"/>
      <c r="J482" s="43"/>
      <c r="K482" s="43"/>
      <c r="L482" s="9"/>
      <c r="M482" s="5">
        <v>2017</v>
      </c>
      <c r="N482" s="12">
        <f ca="1">SUMIFS($AS$2:$AS$363,AN$2:AN$363,1,$D$2:$D$363,2017)</f>
        <v>2.8044489568402611</v>
      </c>
      <c r="O482" s="12">
        <f ca="1">SUMIFS($AS$2:$AS$363,AO$2:AO$363,1,$D$2:$D$363,2017)</f>
        <v>0.68888888888888888</v>
      </c>
      <c r="P482" s="12">
        <f ca="1">SUMIFS($AS$2:$AS$363,AQ$2:AQ$363,1,$D$2:$D$363,2017)</f>
        <v>6.1293254793254794</v>
      </c>
      <c r="Q482" s="12">
        <f t="shared" ca="1" si="85"/>
        <v>9.6226633250546296</v>
      </c>
      <c r="R482" s="27">
        <f t="shared" ca="1" si="87"/>
        <v>3.4312135728426196</v>
      </c>
      <c r="S482" s="27">
        <f t="shared" ca="1" si="86"/>
        <v>13.968382246047042</v>
      </c>
      <c r="T482" s="27">
        <f t="shared" ca="1" si="86"/>
        <v>1.5699383818843284</v>
      </c>
      <c r="U482" s="45">
        <f t="array" aca="1" ref="U482" ca="1">MEDIAN(IF($D$2:$D$363=2017, IF(AN$2:AN$363=1, $AS$2:$AS$363)))</f>
        <v>0.13392857142857142</v>
      </c>
      <c r="V482" s="45">
        <f t="array" aca="1" ref="V482" ca="1">MEDIAN(IF($D$2:$D$363=2017, IF(AO$2:AO$363=1, $AS$2:$AS$363)))</f>
        <v>9.4444444444444442E-2</v>
      </c>
      <c r="W482" s="45">
        <f t="array" aca="1" ref="W482" ca="1">MEDIAN(IF($D$2:$D$363=2017, IF(AQ$2:AQ$363=1, $AS$2:$AS$363)))</f>
        <v>0</v>
      </c>
      <c r="X482" s="43"/>
      <c r="Y482" s="43"/>
      <c r="Z482" s="43"/>
      <c r="AA482" s="44"/>
    </row>
    <row r="483" spans="1:27" x14ac:dyDescent="0.3">
      <c r="A483">
        <v>3</v>
      </c>
      <c r="B483">
        <f t="shared" ca="1" si="81"/>
        <v>0</v>
      </c>
      <c r="C483">
        <f t="shared" ca="1" si="82"/>
        <v>1</v>
      </c>
      <c r="D483">
        <f t="shared" ca="1" si="83"/>
        <v>0</v>
      </c>
      <c r="I483" s="42"/>
      <c r="J483" s="43"/>
      <c r="K483" s="43"/>
      <c r="L483" s="9"/>
      <c r="M483" s="5">
        <v>2018</v>
      </c>
      <c r="N483" s="12">
        <f ca="1">SUMIFS($AS$2:$AS$363,AN$2:AN$363,1,$D$2:$D$363,2018)</f>
        <v>0.89583333333333326</v>
      </c>
      <c r="O483" s="12">
        <f ca="1">SUMIFS($AS$2:$AS$363,AO$2:AO$363,1,$D$2:$D$363,2018)</f>
        <v>2.5047619047619047</v>
      </c>
      <c r="P483" s="12">
        <f ca="1">SUMIFS($AS$2:$AS$363,AQ$2:AQ$363,1,$D$2:$D$363,2018)</f>
        <v>2.9832234432234435</v>
      </c>
      <c r="Q483" s="12">
        <f t="shared" ca="1" si="85"/>
        <v>6.3838186813186812</v>
      </c>
      <c r="R483" s="27">
        <f t="shared" ca="1" si="87"/>
        <v>7.1261231791464352</v>
      </c>
      <c r="S483" s="27">
        <f t="shared" ca="1" si="86"/>
        <v>2.5486728575606903</v>
      </c>
      <c r="T483" s="27">
        <f t="shared" ca="1" si="86"/>
        <v>2.139906313695636</v>
      </c>
      <c r="U483" s="45">
        <f t="array" aca="1" ref="U483" ca="1">MEDIAN(IF($D$2:$D$363=2018, IF(AN$2:AN$363=1, $AS$2:$AS$363)))</f>
        <v>0.25</v>
      </c>
      <c r="V483" s="45">
        <f t="array" aca="1" ref="V483" ca="1">MEDIAN(IF($D$2:$D$363=2018, IF(AO$2:AO$363=1, $AS$2:$AS$363)))</f>
        <v>0.2</v>
      </c>
      <c r="W483" s="45">
        <f t="array" aca="1" ref="W483" ca="1">MEDIAN(IF($D$2:$D$363=2018, IF(AQ$2:AQ$363=1, $AS$2:$AS$363)))</f>
        <v>0</v>
      </c>
      <c r="X483" s="43"/>
      <c r="Y483" s="43"/>
      <c r="Z483" s="43"/>
      <c r="AA483" s="44"/>
    </row>
    <row r="484" spans="1:27" x14ac:dyDescent="0.3">
      <c r="A484">
        <v>3</v>
      </c>
      <c r="B484">
        <f t="shared" ca="1" si="81"/>
        <v>0</v>
      </c>
      <c r="C484">
        <f t="shared" ca="1" si="82"/>
        <v>1</v>
      </c>
      <c r="D484">
        <f t="shared" ca="1" si="83"/>
        <v>0</v>
      </c>
      <c r="I484" s="42"/>
      <c r="J484" s="43"/>
      <c r="K484" s="43"/>
      <c r="L484" s="9"/>
      <c r="M484" s="5">
        <v>2019</v>
      </c>
      <c r="N484" s="12">
        <f ca="1">SUMIFS($AS$2:$AS$363,AN$2:AN$363,1,$D$2:$D$363,2019)</f>
        <v>2.4401154401154401</v>
      </c>
      <c r="O484" s="12">
        <f ca="1">SUMIFS($AS$2:$AS$363,AO$2:AO$363,1,$D$2:$D$363,2019)</f>
        <v>0.92980480480480465</v>
      </c>
      <c r="P484" s="12">
        <f ca="1">SUMIFS($AS$2:$AS$363,AQ$2:AQ$363,1,$D$2:$D$363,2019)</f>
        <v>6.1593512767425809</v>
      </c>
      <c r="Q484" s="12">
        <f t="shared" ca="1" si="85"/>
        <v>9.5292715216628245</v>
      </c>
      <c r="R484" s="27">
        <f t="shared" ca="1" si="87"/>
        <v>3.9052543846909149</v>
      </c>
      <c r="S484" s="27">
        <f t="shared" ca="1" si="86"/>
        <v>10.248679585672091</v>
      </c>
      <c r="T484" s="27">
        <f t="shared" ca="1" si="86"/>
        <v>1.5471225935180712</v>
      </c>
      <c r="U484" s="45">
        <f t="array" aca="1" ref="U484" ca="1">MEDIAN(IF($D$2:$D$363=2019, IF(AN$2:AN$363=1, $AS$2:$AS$363)))</f>
        <v>0.10101010101010101</v>
      </c>
      <c r="V484" s="45">
        <f t="array" aca="1" ref="V484" ca="1">MEDIAN(IF($D$2:$D$363=2019, IF(AO$2:AO$363=1, $AS$2:$AS$363)))</f>
        <v>6.9069069069069067E-2</v>
      </c>
      <c r="W484" s="45">
        <f t="array" aca="1" ref="W484" ca="1">MEDIAN(IF($D$2:$D$363=2019, IF(AQ$2:AQ$363=1, $AS$2:$AS$363)))</f>
        <v>0</v>
      </c>
      <c r="X484" s="43"/>
      <c r="Y484" s="43"/>
      <c r="Z484" s="43"/>
      <c r="AA484" s="44"/>
    </row>
    <row r="485" spans="1:27" x14ac:dyDescent="0.3">
      <c r="A485">
        <v>3</v>
      </c>
      <c r="B485">
        <f t="shared" ca="1" si="81"/>
        <v>0</v>
      </c>
      <c r="C485">
        <f t="shared" ca="1" si="82"/>
        <v>1</v>
      </c>
      <c r="D485">
        <f t="shared" ca="1" si="83"/>
        <v>0</v>
      </c>
      <c r="I485" s="42"/>
      <c r="J485" s="43"/>
      <c r="K485" s="43"/>
      <c r="L485" s="9"/>
      <c r="M485" s="5">
        <v>2020</v>
      </c>
      <c r="N485" s="12">
        <f ca="1">SUMIFS($AS$2:$AS$363,AN$2:AN$363,1,$D$2:$D$363,2020)</f>
        <v>2.587301587301587</v>
      </c>
      <c r="O485" s="12">
        <f ca="1">SUMIFS($AS$2:$AS$363,AO$2:AO$363,1,$D$2:$D$363,2020)</f>
        <v>3.2023809523809521</v>
      </c>
      <c r="P485" s="12">
        <f ca="1">SUMIFS($AS$2:$AS$363,AQ$2:AQ$363,1,$D$2:$D$363,2020)</f>
        <v>3.5670634920634923</v>
      </c>
      <c r="Q485" s="12">
        <f t="shared" ca="1" si="85"/>
        <v>9.3567460317460309</v>
      </c>
      <c r="R485" s="27">
        <f t="shared" ca="1" si="87"/>
        <v>3.6164110429447853</v>
      </c>
      <c r="S485" s="27">
        <f t="shared" ca="1" si="86"/>
        <v>2.9218091697645603</v>
      </c>
      <c r="T485" s="27">
        <f t="shared" ca="1" si="86"/>
        <v>2.6230948937590384</v>
      </c>
      <c r="U485" s="45">
        <f t="array" aca="1" ref="U485" ca="1">MEDIAN(IF($D$2:$D$363=2020, IF(AN$2:AN$363=1, $AS$2:$AS$363)))</f>
        <v>0.1111111111111111</v>
      </c>
      <c r="V485" s="45">
        <f t="array" aca="1" ref="V485" ca="1">MEDIAN(IF($D$2:$D$363=2020, IF(AO$2:AO$363=1, $AS$2:$AS$363)))</f>
        <v>0.19642857142857142</v>
      </c>
      <c r="W485" s="45">
        <f t="array" aca="1" ref="W485" ca="1">MEDIAN(IF($D$2:$D$363=2020, IF(AQ$2:AQ$363=1, $AS$2:$AS$363)))</f>
        <v>0</v>
      </c>
      <c r="X485" s="43"/>
      <c r="Y485" s="43"/>
      <c r="Z485" s="43"/>
      <c r="AA485" s="44"/>
    </row>
    <row r="486" spans="1:27" ht="15" thickBot="1" x14ac:dyDescent="0.35">
      <c r="A486">
        <v>3</v>
      </c>
      <c r="B486">
        <f t="shared" ca="1" si="81"/>
        <v>1</v>
      </c>
      <c r="C486">
        <f t="shared" ca="1" si="82"/>
        <v>0</v>
      </c>
      <c r="D486">
        <f t="shared" ca="1" si="83"/>
        <v>0</v>
      </c>
      <c r="I486" s="42"/>
      <c r="J486" s="43"/>
      <c r="K486" s="43"/>
      <c r="L486" s="10"/>
      <c r="M486" s="18">
        <v>2021</v>
      </c>
      <c r="N486" s="12">
        <f ca="1">SUMIFS($AS$2:$AS$363,AN$2:AN$363,1,$D$2:$D$363,2021)</f>
        <v>1.4166666666666665</v>
      </c>
      <c r="O486" s="12">
        <f ca="1">SUMIFS($AS$2:$AS$363,AO$2:AO$363,1,$D$2:$D$363,2021)</f>
        <v>1.3333333333333333</v>
      </c>
      <c r="P486" s="12">
        <f ca="1">SUMIFS($AS$2:$AS$363,AQ$2:AQ$363,1,$D$2:$D$363,2021)</f>
        <v>11.316666666666666</v>
      </c>
      <c r="Q486" s="14">
        <f t="shared" ca="1" si="85"/>
        <v>14.066666666666666</v>
      </c>
      <c r="R486" s="27">
        <f t="shared" ca="1" si="87"/>
        <v>9.9294117647058826</v>
      </c>
      <c r="S486" s="27">
        <f t="shared" ca="1" si="86"/>
        <v>10.55</v>
      </c>
      <c r="T486" s="27">
        <f t="shared" ca="1" si="86"/>
        <v>1.2430044182621502</v>
      </c>
      <c r="U486" s="45">
        <f t="array" aca="1" ref="U486" ca="1">MEDIAN(IF($D$2:$D$363=2021, IF(AN$2:AN$363=1, $AS$2:$AS$363)))</f>
        <v>0.25</v>
      </c>
      <c r="V486" s="45">
        <f t="array" aca="1" ref="V486" ca="1">MEDIAN(IF($D$2:$D$363=2021, IF(AO$2:AO$363=1, $AS$2:$AS$363)))</f>
        <v>0.16666666666666666</v>
      </c>
      <c r="W486" s="45">
        <f t="array" aca="1" ref="W486" ca="1">MEDIAN(IF($D$2:$D$363=2021, IF(AQ$2:AQ$363=1, $AS$2:$AS$363)))</f>
        <v>0</v>
      </c>
      <c r="X486" s="43"/>
      <c r="Y486" s="43"/>
      <c r="Z486" s="43"/>
      <c r="AA486" s="44"/>
    </row>
    <row r="487" spans="1:27" x14ac:dyDescent="0.3">
      <c r="A487">
        <v>3</v>
      </c>
      <c r="B487">
        <f t="shared" ca="1" si="81"/>
        <v>0</v>
      </c>
      <c r="C487">
        <f t="shared" ca="1" si="82"/>
        <v>1</v>
      </c>
      <c r="D487">
        <f t="shared" ca="1" si="83"/>
        <v>0</v>
      </c>
      <c r="I487" s="42"/>
      <c r="J487" s="43"/>
      <c r="K487" s="43"/>
      <c r="L487" s="43"/>
      <c r="M487" s="43"/>
      <c r="N487" s="43"/>
      <c r="O487" s="43"/>
      <c r="P487" s="43"/>
      <c r="Q487" s="43"/>
      <c r="R487" s="43"/>
      <c r="S487" s="43"/>
      <c r="T487" s="43"/>
      <c r="U487" s="43"/>
      <c r="V487" s="43"/>
      <c r="W487" s="43"/>
      <c r="X487" s="43"/>
      <c r="Y487" s="43"/>
      <c r="Z487" s="43"/>
      <c r="AA487" s="44"/>
    </row>
    <row r="488" spans="1:27" x14ac:dyDescent="0.3">
      <c r="A488">
        <v>3</v>
      </c>
      <c r="B488">
        <f t="shared" ca="1" si="81"/>
        <v>0</v>
      </c>
      <c r="C488">
        <f t="shared" ca="1" si="82"/>
        <v>1</v>
      </c>
      <c r="D488">
        <f t="shared" ca="1" si="83"/>
        <v>0</v>
      </c>
      <c r="I488" s="42"/>
      <c r="J488" s="43"/>
      <c r="K488" s="43"/>
      <c r="L488" s="43"/>
      <c r="M488" s="43"/>
      <c r="N488" s="43" t="s">
        <v>2172</v>
      </c>
      <c r="O488" s="43" t="s">
        <v>2173</v>
      </c>
      <c r="P488" s="43" t="s">
        <v>2196</v>
      </c>
      <c r="Q488" s="43" t="s">
        <v>2195</v>
      </c>
      <c r="R488" s="43"/>
      <c r="S488" s="43"/>
      <c r="T488" s="43"/>
      <c r="U488" s="43"/>
      <c r="V488" s="43"/>
      <c r="W488" s="43"/>
      <c r="X488" s="43"/>
      <c r="Y488" s="43"/>
      <c r="Z488" s="43"/>
      <c r="AA488" s="44"/>
    </row>
    <row r="489" spans="1:27" x14ac:dyDescent="0.3">
      <c r="A489">
        <v>3</v>
      </c>
      <c r="B489">
        <f t="shared" ca="1" si="81"/>
        <v>0</v>
      </c>
      <c r="C489">
        <f t="shared" ca="1" si="82"/>
        <v>0</v>
      </c>
      <c r="D489">
        <f t="shared" ca="1" si="83"/>
        <v>1</v>
      </c>
      <c r="I489" s="42"/>
      <c r="J489" s="43"/>
      <c r="K489" s="43"/>
      <c r="L489" s="43" t="s">
        <v>2194</v>
      </c>
      <c r="M489" s="43"/>
      <c r="N489" s="45">
        <f ca="1">(SUM($AS$2:$AS$363))/(SUMIF(AN$2:AN$363,1,$AS$2:$AS$363))</f>
        <v>4.6419417656564281</v>
      </c>
      <c r="O489" s="45">
        <f t="shared" ref="O489:Q489" ca="1" si="88">(SUM($AS$2:$AS$363))/(SUMIF(AO$2:AO$363,1,$AS$2:$AS$363))</f>
        <v>5.5466187948502137</v>
      </c>
      <c r="P489" s="45">
        <f t="shared" ca="1" si="88"/>
        <v>3.7051200130737407</v>
      </c>
      <c r="Q489" s="45">
        <f t="shared" ca="1" si="88"/>
        <v>1.654854059593303</v>
      </c>
      <c r="R489" s="43"/>
      <c r="S489" s="43"/>
      <c r="T489" s="43"/>
      <c r="U489" s="43"/>
      <c r="V489" s="43"/>
      <c r="W489" s="43"/>
      <c r="X489" s="43"/>
      <c r="Y489" s="43"/>
      <c r="Z489" s="43"/>
      <c r="AA489" s="44"/>
    </row>
    <row r="490" spans="1:27" x14ac:dyDescent="0.3">
      <c r="A490">
        <v>3</v>
      </c>
      <c r="B490">
        <f t="shared" ca="1" si="81"/>
        <v>0</v>
      </c>
      <c r="C490">
        <f t="shared" ca="1" si="82"/>
        <v>0</v>
      </c>
      <c r="D490">
        <f t="shared" ca="1" si="83"/>
        <v>1</v>
      </c>
      <c r="I490" s="42"/>
      <c r="J490" s="43"/>
      <c r="K490" s="43"/>
      <c r="L490" s="43" t="s">
        <v>2200</v>
      </c>
      <c r="M490" s="43"/>
      <c r="N490" s="45">
        <f t="array" aca="1" ref="N490" ca="1">MEDIAN(IF(AN$2:AN$363=1, $AS$2:$AS$363))</f>
        <v>0.13392857142857142</v>
      </c>
      <c r="O490" s="45">
        <f t="array" aca="1" ref="O490" ca="1">MEDIAN(IF(AO$2:AO$363=1, $AS$2:$AS$363))</f>
        <v>0.1111111111111111</v>
      </c>
      <c r="P490" s="45">
        <f t="array" aca="1" ref="P490" ca="1">MEDIAN(IF(AP$2:AP$363=1, $AS$2:$AS$363))</f>
        <v>0</v>
      </c>
      <c r="Q490" s="45">
        <f t="array" aca="1" ref="Q490" ca="1">MEDIAN(IF(AQ$2:AQ$363=1, $AS$2:$AS$363))</f>
        <v>0</v>
      </c>
      <c r="R490" s="43"/>
      <c r="S490" s="43"/>
      <c r="T490" s="43"/>
      <c r="U490" s="43"/>
      <c r="V490" s="43"/>
      <c r="W490" s="43"/>
      <c r="X490" s="43"/>
      <c r="Y490" s="43"/>
      <c r="Z490" s="43"/>
      <c r="AA490" s="44"/>
    </row>
    <row r="491" spans="1:27" x14ac:dyDescent="0.3">
      <c r="A491">
        <v>3</v>
      </c>
      <c r="B491">
        <f t="shared" ca="1" si="81"/>
        <v>0</v>
      </c>
      <c r="C491">
        <f t="shared" ca="1" si="82"/>
        <v>0</v>
      </c>
      <c r="D491">
        <f t="shared" ca="1" si="83"/>
        <v>1</v>
      </c>
      <c r="I491" s="42"/>
      <c r="J491" s="43"/>
      <c r="K491" s="43"/>
      <c r="L491" s="43"/>
      <c r="M491" s="43"/>
      <c r="N491" s="43"/>
      <c r="O491" s="43"/>
      <c r="P491" s="43"/>
      <c r="Q491" s="43"/>
      <c r="R491" s="43"/>
      <c r="S491" s="43"/>
      <c r="T491" s="43"/>
      <c r="U491" s="43"/>
      <c r="V491" s="43"/>
      <c r="W491" s="43"/>
      <c r="X491" s="43"/>
      <c r="Y491" s="43"/>
      <c r="Z491" s="43"/>
      <c r="AA491" s="44"/>
    </row>
    <row r="492" spans="1:27" x14ac:dyDescent="0.3">
      <c r="A492">
        <v>3</v>
      </c>
      <c r="B492">
        <f t="shared" ca="1" si="81"/>
        <v>0</v>
      </c>
      <c r="C492">
        <f t="shared" ca="1" si="82"/>
        <v>0</v>
      </c>
      <c r="D492">
        <f t="shared" ca="1" si="83"/>
        <v>1</v>
      </c>
      <c r="I492" s="42"/>
      <c r="J492" s="43"/>
      <c r="K492" s="43"/>
      <c r="L492" s="43"/>
      <c r="M492" s="43"/>
      <c r="N492" s="43"/>
      <c r="O492" s="43"/>
      <c r="P492" s="43"/>
      <c r="Q492" s="43"/>
      <c r="R492" s="43"/>
      <c r="S492" s="43"/>
      <c r="T492" s="43"/>
      <c r="U492" s="43"/>
      <c r="V492" s="43"/>
      <c r="W492" s="43"/>
      <c r="X492" s="43"/>
      <c r="Y492" s="43"/>
      <c r="Z492" s="43"/>
      <c r="AA492" s="44"/>
    </row>
    <row r="493" spans="1:27" x14ac:dyDescent="0.3">
      <c r="A493">
        <v>3</v>
      </c>
      <c r="B493">
        <f t="shared" ca="1" si="81"/>
        <v>0</v>
      </c>
      <c r="C493">
        <f t="shared" ca="1" si="82"/>
        <v>0</v>
      </c>
      <c r="D493">
        <f t="shared" ca="1" si="83"/>
        <v>1</v>
      </c>
      <c r="I493" s="42"/>
      <c r="J493" s="43"/>
      <c r="K493" s="43"/>
      <c r="L493" s="43"/>
      <c r="M493" s="43"/>
      <c r="N493" s="43"/>
      <c r="O493" s="43"/>
      <c r="P493" s="43"/>
      <c r="Q493" s="43"/>
      <c r="R493" s="43"/>
      <c r="S493" s="43"/>
      <c r="T493" s="43"/>
      <c r="U493" s="43"/>
      <c r="V493" s="43"/>
      <c r="W493" s="43"/>
      <c r="X493" s="43"/>
      <c r="Y493" s="43"/>
      <c r="Z493" s="43"/>
      <c r="AA493" s="44"/>
    </row>
    <row r="494" spans="1:27" x14ac:dyDescent="0.3">
      <c r="A494">
        <v>3</v>
      </c>
      <c r="B494">
        <f t="shared" ca="1" si="81"/>
        <v>0</v>
      </c>
      <c r="C494">
        <f t="shared" ca="1" si="82"/>
        <v>1</v>
      </c>
      <c r="D494">
        <f t="shared" ca="1" si="83"/>
        <v>0</v>
      </c>
      <c r="I494" s="42"/>
      <c r="J494" s="43"/>
      <c r="K494" s="43"/>
      <c r="L494" s="43"/>
      <c r="M494" s="43"/>
      <c r="N494" s="43"/>
      <c r="O494" s="43"/>
      <c r="P494" s="43"/>
      <c r="Q494" s="43"/>
      <c r="R494" s="43"/>
      <c r="S494" s="43"/>
      <c r="T494" s="43"/>
      <c r="U494" s="43"/>
      <c r="V494" s="43"/>
      <c r="W494" s="43"/>
      <c r="X494" s="43"/>
      <c r="Y494" s="43"/>
      <c r="Z494" s="43"/>
      <c r="AA494" s="44"/>
    </row>
    <row r="495" spans="1:27" x14ac:dyDescent="0.3">
      <c r="A495">
        <v>3</v>
      </c>
      <c r="B495">
        <f t="shared" ca="1" si="81"/>
        <v>1</v>
      </c>
      <c r="C495">
        <f t="shared" ca="1" si="82"/>
        <v>0</v>
      </c>
      <c r="D495">
        <f t="shared" ca="1" si="83"/>
        <v>0</v>
      </c>
      <c r="I495" s="42"/>
      <c r="J495" s="43"/>
      <c r="K495" s="43"/>
      <c r="L495" s="43"/>
      <c r="M495" s="43"/>
      <c r="N495" s="43"/>
      <c r="O495" s="43"/>
      <c r="P495" s="43"/>
      <c r="Q495" s="43"/>
      <c r="R495" s="43"/>
      <c r="S495" s="43"/>
      <c r="T495" s="43"/>
      <c r="U495" s="43"/>
      <c r="V495" s="43"/>
      <c r="W495" s="43"/>
      <c r="X495" s="43"/>
      <c r="Y495" s="43"/>
      <c r="Z495" s="43"/>
      <c r="AA495" s="44"/>
    </row>
    <row r="496" spans="1:27" x14ac:dyDescent="0.3">
      <c r="A496">
        <v>3</v>
      </c>
      <c r="B496">
        <f t="shared" ca="1" si="81"/>
        <v>0</v>
      </c>
      <c r="C496">
        <f t="shared" ca="1" si="82"/>
        <v>0</v>
      </c>
      <c r="D496">
        <f t="shared" ca="1" si="83"/>
        <v>1</v>
      </c>
      <c r="I496" s="42"/>
      <c r="J496" s="43"/>
      <c r="K496" s="43"/>
      <c r="L496" s="43"/>
      <c r="M496" s="43"/>
      <c r="N496" s="43"/>
      <c r="O496" s="43"/>
      <c r="P496" s="43"/>
      <c r="Q496" s="43"/>
      <c r="R496" s="43"/>
      <c r="S496" s="43"/>
      <c r="T496" s="43"/>
      <c r="U496" s="43"/>
      <c r="V496" s="43"/>
      <c r="W496" s="43"/>
      <c r="X496" s="43"/>
      <c r="Y496" s="43"/>
      <c r="Z496" s="43"/>
      <c r="AA496" s="44"/>
    </row>
    <row r="497" spans="1:27" x14ac:dyDescent="0.3">
      <c r="A497">
        <v>3</v>
      </c>
      <c r="B497">
        <f t="shared" ca="1" si="81"/>
        <v>0</v>
      </c>
      <c r="C497">
        <f t="shared" ca="1" si="82"/>
        <v>0</v>
      </c>
      <c r="D497">
        <f t="shared" ca="1" si="83"/>
        <v>1</v>
      </c>
      <c r="I497" s="42"/>
      <c r="J497" s="43"/>
      <c r="K497" s="43"/>
      <c r="L497" s="43"/>
      <c r="M497" s="43"/>
      <c r="N497" s="43"/>
      <c r="O497" s="43"/>
      <c r="P497" s="43"/>
      <c r="Q497" s="43"/>
      <c r="R497" s="43"/>
      <c r="S497" s="43"/>
      <c r="T497" s="43"/>
      <c r="U497" s="43"/>
      <c r="V497" s="43"/>
      <c r="W497" s="43"/>
      <c r="X497" s="43"/>
      <c r="Y497" s="43"/>
      <c r="Z497" s="43"/>
      <c r="AA497" s="44"/>
    </row>
    <row r="498" spans="1:27" x14ac:dyDescent="0.3">
      <c r="A498">
        <v>3</v>
      </c>
      <c r="B498">
        <f t="shared" ca="1" si="81"/>
        <v>0</v>
      </c>
      <c r="C498">
        <f t="shared" ca="1" si="82"/>
        <v>0</v>
      </c>
      <c r="D498">
        <f t="shared" ca="1" si="83"/>
        <v>1</v>
      </c>
      <c r="I498" s="42"/>
      <c r="J498" s="43"/>
      <c r="K498" s="43"/>
      <c r="L498" s="43"/>
      <c r="M498" s="43"/>
      <c r="N498" s="43"/>
      <c r="O498" s="43"/>
      <c r="P498" s="43"/>
      <c r="Q498" s="43"/>
      <c r="R498" s="43"/>
      <c r="S498" s="43"/>
      <c r="T498" s="43"/>
      <c r="U498" s="43"/>
      <c r="V498" s="43"/>
      <c r="W498" s="43"/>
      <c r="X498" s="43"/>
      <c r="Y498" s="43"/>
      <c r="Z498" s="43"/>
      <c r="AA498" s="44"/>
    </row>
    <row r="499" spans="1:27" x14ac:dyDescent="0.3">
      <c r="A499">
        <v>2</v>
      </c>
      <c r="B499">
        <f t="shared" ca="1" si="81"/>
        <v>0</v>
      </c>
      <c r="C499">
        <f t="shared" ca="1" si="82"/>
        <v>0</v>
      </c>
      <c r="D499">
        <f t="shared" ca="1" si="83"/>
        <v>1</v>
      </c>
      <c r="I499" s="42"/>
      <c r="J499" s="43"/>
      <c r="K499" s="43"/>
      <c r="L499" s="43"/>
      <c r="M499" s="43"/>
      <c r="N499" s="43"/>
      <c r="O499" s="43"/>
      <c r="P499" s="43"/>
      <c r="Q499" s="43"/>
      <c r="R499" s="43"/>
      <c r="S499" s="43"/>
      <c r="T499" s="43"/>
      <c r="U499" s="43"/>
      <c r="V499" s="43"/>
      <c r="W499" s="43"/>
      <c r="X499" s="43"/>
      <c r="Y499" s="43"/>
      <c r="Z499" s="43"/>
      <c r="AA499" s="44"/>
    </row>
    <row r="500" spans="1:27" x14ac:dyDescent="0.3">
      <c r="A500">
        <v>2</v>
      </c>
      <c r="B500">
        <f t="shared" ca="1" si="81"/>
        <v>1</v>
      </c>
      <c r="C500">
        <f t="shared" ca="1" si="82"/>
        <v>0</v>
      </c>
      <c r="D500">
        <f t="shared" ca="1" si="83"/>
        <v>0</v>
      </c>
      <c r="I500" s="42"/>
      <c r="J500" s="43"/>
      <c r="K500" s="43"/>
      <c r="L500" s="43"/>
      <c r="M500" s="43"/>
      <c r="N500" s="43"/>
      <c r="O500" s="43"/>
      <c r="P500" s="43"/>
      <c r="Q500" s="43"/>
      <c r="R500" s="43"/>
      <c r="S500" s="43"/>
      <c r="T500" s="43"/>
      <c r="U500" s="43"/>
      <c r="V500" s="43"/>
      <c r="W500" s="43"/>
      <c r="X500" s="43"/>
      <c r="Y500" s="43"/>
      <c r="Z500" s="43"/>
      <c r="AA500" s="44"/>
    </row>
    <row r="501" spans="1:27" x14ac:dyDescent="0.3">
      <c r="A501">
        <v>2</v>
      </c>
      <c r="B501">
        <f t="shared" ca="1" si="81"/>
        <v>0</v>
      </c>
      <c r="C501">
        <f t="shared" ca="1" si="82"/>
        <v>0</v>
      </c>
      <c r="D501">
        <f t="shared" ca="1" si="83"/>
        <v>1</v>
      </c>
      <c r="I501" s="42"/>
      <c r="J501" s="43"/>
      <c r="K501" s="43"/>
      <c r="L501" s="43"/>
      <c r="M501" s="43"/>
      <c r="N501" s="43"/>
      <c r="O501" s="43"/>
      <c r="P501" s="43"/>
      <c r="Q501" s="43"/>
      <c r="R501" s="43"/>
      <c r="S501" s="43"/>
      <c r="T501" s="43"/>
      <c r="U501" s="43"/>
      <c r="V501" s="43"/>
      <c r="W501" s="43"/>
      <c r="X501" s="43"/>
      <c r="Y501" s="43"/>
      <c r="Z501" s="43"/>
      <c r="AA501" s="44"/>
    </row>
    <row r="502" spans="1:27" x14ac:dyDescent="0.3">
      <c r="A502">
        <v>2</v>
      </c>
      <c r="B502">
        <f t="shared" ca="1" si="81"/>
        <v>0</v>
      </c>
      <c r="C502">
        <f t="shared" ca="1" si="82"/>
        <v>0</v>
      </c>
      <c r="D502">
        <f t="shared" ca="1" si="83"/>
        <v>1</v>
      </c>
      <c r="I502" s="42"/>
      <c r="J502" s="43"/>
      <c r="K502" s="43"/>
      <c r="L502" s="43"/>
      <c r="M502" s="43"/>
      <c r="N502" s="43"/>
      <c r="O502" s="43"/>
      <c r="P502" s="43"/>
      <c r="Q502" s="43"/>
      <c r="R502" s="43"/>
      <c r="S502" s="43"/>
      <c r="T502" s="43"/>
      <c r="U502" s="43"/>
      <c r="V502" s="43"/>
      <c r="W502" s="43"/>
      <c r="X502" s="43"/>
      <c r="Y502" s="43"/>
      <c r="Z502" s="43"/>
      <c r="AA502" s="44"/>
    </row>
    <row r="503" spans="1:27" x14ac:dyDescent="0.3">
      <c r="A503">
        <v>2</v>
      </c>
      <c r="B503">
        <f t="shared" ca="1" si="81"/>
        <v>0</v>
      </c>
      <c r="C503">
        <f t="shared" ca="1" si="82"/>
        <v>1</v>
      </c>
      <c r="D503">
        <f t="shared" ca="1" si="83"/>
        <v>0</v>
      </c>
      <c r="I503" s="42"/>
      <c r="J503" s="43"/>
      <c r="K503" s="43"/>
      <c r="L503" s="43"/>
      <c r="M503" s="43"/>
      <c r="N503" s="43"/>
      <c r="O503" s="43"/>
      <c r="P503" s="43"/>
      <c r="Q503" s="43"/>
      <c r="R503" s="43"/>
      <c r="S503" s="43"/>
      <c r="T503" s="43"/>
      <c r="U503" s="43"/>
      <c r="V503" s="43"/>
      <c r="W503" s="43"/>
      <c r="X503" s="43"/>
      <c r="Y503" s="43"/>
      <c r="Z503" s="43"/>
      <c r="AA503" s="44"/>
    </row>
    <row r="504" spans="1:27" x14ac:dyDescent="0.3">
      <c r="A504">
        <v>2</v>
      </c>
      <c r="B504">
        <f t="shared" ca="1" si="81"/>
        <v>0</v>
      </c>
      <c r="C504">
        <f t="shared" ca="1" si="82"/>
        <v>1</v>
      </c>
      <c r="D504">
        <f t="shared" ca="1" si="83"/>
        <v>0</v>
      </c>
      <c r="I504" s="42"/>
      <c r="J504" s="43"/>
      <c r="K504" s="43"/>
      <c r="L504" s="43"/>
      <c r="M504" s="43"/>
      <c r="N504" s="43"/>
      <c r="O504" s="43"/>
      <c r="P504" s="43"/>
      <c r="Q504" s="43"/>
      <c r="R504" s="43"/>
      <c r="S504" s="43"/>
      <c r="T504" s="43"/>
      <c r="U504" s="43"/>
      <c r="V504" s="43"/>
      <c r="W504" s="43"/>
      <c r="X504" s="43"/>
      <c r="Y504" s="43"/>
      <c r="Z504" s="43"/>
      <c r="AA504" s="44"/>
    </row>
    <row r="505" spans="1:27" x14ac:dyDescent="0.3">
      <c r="A505">
        <v>2</v>
      </c>
      <c r="B505">
        <f t="shared" ca="1" si="81"/>
        <v>0</v>
      </c>
      <c r="C505">
        <f t="shared" ca="1" si="82"/>
        <v>0</v>
      </c>
      <c r="D505">
        <f t="shared" ca="1" si="83"/>
        <v>1</v>
      </c>
      <c r="I505" s="42"/>
      <c r="J505" s="43"/>
      <c r="K505" s="43"/>
      <c r="L505" s="43"/>
      <c r="M505" s="43"/>
      <c r="N505" s="43"/>
      <c r="O505" s="43"/>
      <c r="P505" s="43"/>
      <c r="Q505" s="43"/>
      <c r="R505" s="43"/>
      <c r="S505" s="43"/>
      <c r="T505" s="43"/>
      <c r="U505" s="43"/>
      <c r="V505" s="43"/>
      <c r="W505" s="43"/>
      <c r="X505" s="43"/>
      <c r="Y505" s="43"/>
      <c r="Z505" s="43"/>
      <c r="AA505" s="44"/>
    </row>
    <row r="506" spans="1:27" x14ac:dyDescent="0.3">
      <c r="A506">
        <v>2</v>
      </c>
      <c r="B506">
        <f t="shared" ca="1" si="81"/>
        <v>0</v>
      </c>
      <c r="C506">
        <f t="shared" ca="1" si="82"/>
        <v>0</v>
      </c>
      <c r="D506">
        <f t="shared" ca="1" si="83"/>
        <v>1</v>
      </c>
      <c r="I506" s="42"/>
      <c r="J506" s="43"/>
      <c r="K506" s="43"/>
      <c r="L506" s="43"/>
      <c r="M506" s="43"/>
      <c r="N506" s="43"/>
      <c r="O506" s="43"/>
      <c r="P506" s="43"/>
      <c r="Q506" s="43"/>
      <c r="R506" s="43"/>
      <c r="S506" s="43"/>
      <c r="T506" s="43"/>
      <c r="U506" s="43"/>
      <c r="V506" s="43"/>
      <c r="W506" s="43"/>
      <c r="X506" s="43"/>
      <c r="Y506" s="43"/>
      <c r="Z506" s="43"/>
      <c r="AA506" s="44"/>
    </row>
    <row r="507" spans="1:27" x14ac:dyDescent="0.3">
      <c r="A507">
        <v>2</v>
      </c>
      <c r="B507">
        <f t="shared" ref="B507:B570" ca="1" si="89">$AN130</f>
        <v>0</v>
      </c>
      <c r="C507">
        <f t="shared" ref="C507:C570" ca="1" si="90">$AO130</f>
        <v>0</v>
      </c>
      <c r="D507">
        <f t="shared" ref="D507:D570" ca="1" si="91">$AQ130</f>
        <v>1</v>
      </c>
      <c r="I507" s="42"/>
      <c r="J507" s="43"/>
      <c r="K507" s="43"/>
      <c r="L507" s="43"/>
      <c r="M507" s="43"/>
      <c r="N507" s="43"/>
      <c r="O507" s="43"/>
      <c r="P507" s="43"/>
      <c r="Q507" s="43"/>
      <c r="R507" s="43"/>
      <c r="S507" s="43"/>
      <c r="T507" s="43"/>
      <c r="U507" s="43"/>
      <c r="V507" s="43"/>
      <c r="W507" s="43"/>
      <c r="X507" s="43"/>
      <c r="Y507" s="43"/>
      <c r="Z507" s="43"/>
      <c r="AA507" s="44"/>
    </row>
    <row r="508" spans="1:27" x14ac:dyDescent="0.3">
      <c r="A508">
        <v>2</v>
      </c>
      <c r="B508">
        <f t="shared" ca="1" si="89"/>
        <v>0</v>
      </c>
      <c r="C508">
        <f t="shared" ca="1" si="90"/>
        <v>0</v>
      </c>
      <c r="D508">
        <f t="shared" ca="1" si="91"/>
        <v>1</v>
      </c>
      <c r="I508" s="42"/>
      <c r="J508" s="43"/>
      <c r="K508" s="43"/>
      <c r="L508" s="43"/>
      <c r="M508" s="43"/>
      <c r="N508" s="43"/>
      <c r="O508" s="43"/>
      <c r="P508" s="43"/>
      <c r="Q508" s="43"/>
      <c r="R508" s="43"/>
      <c r="S508" s="43"/>
      <c r="T508" s="43"/>
      <c r="U508" s="43"/>
      <c r="V508" s="43"/>
      <c r="W508" s="43"/>
      <c r="X508" s="43"/>
      <c r="Y508" s="43"/>
      <c r="Z508" s="43"/>
      <c r="AA508" s="44"/>
    </row>
    <row r="509" spans="1:27" x14ac:dyDescent="0.3">
      <c r="A509">
        <v>2</v>
      </c>
      <c r="B509">
        <f t="shared" ca="1" si="89"/>
        <v>0</v>
      </c>
      <c r="C509">
        <f t="shared" ca="1" si="90"/>
        <v>0</v>
      </c>
      <c r="D509">
        <f t="shared" ca="1" si="91"/>
        <v>1</v>
      </c>
      <c r="I509" s="42"/>
      <c r="J509" s="43"/>
      <c r="K509" s="43"/>
      <c r="L509" s="43"/>
      <c r="M509" s="43"/>
      <c r="N509" s="43"/>
      <c r="O509" s="43"/>
      <c r="P509" s="43"/>
      <c r="Q509" s="43"/>
      <c r="R509" s="43"/>
      <c r="S509" s="43"/>
      <c r="T509" s="43"/>
      <c r="U509" s="43"/>
      <c r="V509" s="43"/>
      <c r="W509" s="43"/>
      <c r="X509" s="43"/>
      <c r="Y509" s="43"/>
      <c r="Z509" s="43"/>
      <c r="AA509" s="44"/>
    </row>
    <row r="510" spans="1:27" x14ac:dyDescent="0.3">
      <c r="A510">
        <v>2</v>
      </c>
      <c r="B510">
        <f t="shared" ca="1" si="89"/>
        <v>0</v>
      </c>
      <c r="C510">
        <f t="shared" ca="1" si="90"/>
        <v>0</v>
      </c>
      <c r="D510">
        <f t="shared" ca="1" si="91"/>
        <v>1</v>
      </c>
      <c r="I510" s="42"/>
      <c r="J510" s="43"/>
      <c r="K510" s="43"/>
      <c r="L510" s="43"/>
      <c r="M510" s="43"/>
      <c r="N510" s="43"/>
      <c r="O510" s="43"/>
      <c r="P510" s="43"/>
      <c r="Q510" s="43"/>
      <c r="R510" s="43"/>
      <c r="S510" s="43"/>
      <c r="T510" s="43"/>
      <c r="U510" s="43"/>
      <c r="V510" s="43"/>
      <c r="W510" s="43"/>
      <c r="X510" s="43"/>
      <c r="Y510" s="43"/>
      <c r="Z510" s="43"/>
      <c r="AA510" s="44"/>
    </row>
    <row r="511" spans="1:27" x14ac:dyDescent="0.3">
      <c r="A511">
        <v>2</v>
      </c>
      <c r="B511">
        <f t="shared" ca="1" si="89"/>
        <v>1</v>
      </c>
      <c r="C511">
        <f t="shared" ca="1" si="90"/>
        <v>0</v>
      </c>
      <c r="D511">
        <f t="shared" ca="1" si="91"/>
        <v>0</v>
      </c>
      <c r="I511" s="42"/>
      <c r="J511" s="43"/>
      <c r="K511" s="43"/>
      <c r="L511" s="43"/>
      <c r="M511" s="43"/>
      <c r="N511" s="43"/>
      <c r="O511" s="43"/>
      <c r="P511" s="43"/>
      <c r="Q511" s="43"/>
      <c r="R511" s="43"/>
      <c r="S511" s="43"/>
      <c r="T511" s="43"/>
      <c r="U511" s="43"/>
      <c r="V511" s="43"/>
      <c r="W511" s="43"/>
      <c r="X511" s="43"/>
      <c r="Y511" s="43"/>
      <c r="Z511" s="43"/>
      <c r="AA511" s="44"/>
    </row>
    <row r="512" spans="1:27" x14ac:dyDescent="0.3">
      <c r="A512">
        <v>2</v>
      </c>
      <c r="B512">
        <f t="shared" ca="1" si="89"/>
        <v>0</v>
      </c>
      <c r="C512">
        <f t="shared" ca="1" si="90"/>
        <v>0</v>
      </c>
      <c r="D512">
        <f t="shared" ca="1" si="91"/>
        <v>1</v>
      </c>
      <c r="I512" s="42"/>
      <c r="J512" s="43"/>
      <c r="K512" s="43"/>
      <c r="L512" s="43"/>
      <c r="M512" s="43"/>
      <c r="N512" s="43"/>
      <c r="O512" s="43"/>
      <c r="P512" s="43"/>
      <c r="Q512" s="43"/>
      <c r="R512" s="43"/>
      <c r="S512" s="43"/>
      <c r="T512" s="43"/>
      <c r="U512" s="43"/>
      <c r="V512" s="43"/>
      <c r="W512" s="43"/>
      <c r="X512" s="43"/>
      <c r="Y512" s="43"/>
      <c r="Z512" s="43"/>
      <c r="AA512" s="44"/>
    </row>
    <row r="513" spans="1:27" x14ac:dyDescent="0.3">
      <c r="A513">
        <v>2</v>
      </c>
      <c r="B513">
        <f t="shared" ca="1" si="89"/>
        <v>0</v>
      </c>
      <c r="C513">
        <f t="shared" ca="1" si="90"/>
        <v>0</v>
      </c>
      <c r="D513">
        <f t="shared" ca="1" si="91"/>
        <v>1</v>
      </c>
      <c r="I513" s="42"/>
      <c r="J513" s="43"/>
      <c r="K513" s="43"/>
      <c r="L513" s="43"/>
      <c r="M513" s="43"/>
      <c r="N513" s="43"/>
      <c r="O513" s="43"/>
      <c r="P513" s="43"/>
      <c r="Q513" s="43"/>
      <c r="R513" s="43"/>
      <c r="S513" s="43"/>
      <c r="T513" s="43"/>
      <c r="U513" s="43"/>
      <c r="V513" s="43"/>
      <c r="W513" s="43"/>
      <c r="X513" s="43"/>
      <c r="Y513" s="43"/>
      <c r="Z513" s="43"/>
      <c r="AA513" s="44"/>
    </row>
    <row r="514" spans="1:27" x14ac:dyDescent="0.3">
      <c r="A514">
        <v>2</v>
      </c>
      <c r="B514">
        <f t="shared" ca="1" si="89"/>
        <v>0</v>
      </c>
      <c r="C514">
        <f t="shared" ca="1" si="90"/>
        <v>0</v>
      </c>
      <c r="D514">
        <f t="shared" ca="1" si="91"/>
        <v>1</v>
      </c>
      <c r="I514" s="42"/>
      <c r="J514" s="43"/>
      <c r="K514" s="43"/>
      <c r="L514" s="43"/>
      <c r="M514" s="43"/>
      <c r="N514" s="43"/>
      <c r="O514" s="43"/>
      <c r="P514" s="43"/>
      <c r="Q514" s="43"/>
      <c r="R514" s="43"/>
      <c r="S514" s="43"/>
      <c r="T514" s="43"/>
      <c r="U514" s="43"/>
      <c r="V514" s="43"/>
      <c r="W514" s="43"/>
      <c r="X514" s="43"/>
      <c r="Y514" s="43"/>
      <c r="Z514" s="43"/>
      <c r="AA514" s="44"/>
    </row>
    <row r="515" spans="1:27" x14ac:dyDescent="0.3">
      <c r="A515">
        <v>2</v>
      </c>
      <c r="B515">
        <f t="shared" ca="1" si="89"/>
        <v>0</v>
      </c>
      <c r="C515">
        <f t="shared" ca="1" si="90"/>
        <v>0</v>
      </c>
      <c r="D515">
        <f t="shared" ca="1" si="91"/>
        <v>1</v>
      </c>
      <c r="I515" s="42"/>
      <c r="J515" s="43"/>
      <c r="K515" s="43"/>
      <c r="L515" s="43"/>
      <c r="M515" s="43"/>
      <c r="N515" s="43"/>
      <c r="O515" s="43"/>
      <c r="P515" s="43"/>
      <c r="Q515" s="43"/>
      <c r="R515" s="43"/>
      <c r="S515" s="43"/>
      <c r="T515" s="43"/>
      <c r="U515" s="43"/>
      <c r="V515" s="43"/>
      <c r="W515" s="43"/>
      <c r="X515" s="43"/>
      <c r="Y515" s="43"/>
      <c r="Z515" s="43"/>
      <c r="AA515" s="44"/>
    </row>
    <row r="516" spans="1:27" x14ac:dyDescent="0.3">
      <c r="A516">
        <v>2</v>
      </c>
      <c r="B516">
        <f t="shared" ca="1" si="89"/>
        <v>0</v>
      </c>
      <c r="C516">
        <f t="shared" ca="1" si="90"/>
        <v>0</v>
      </c>
      <c r="D516">
        <f t="shared" ca="1" si="91"/>
        <v>1</v>
      </c>
      <c r="I516" s="42"/>
      <c r="J516" s="43"/>
      <c r="K516" s="43"/>
      <c r="L516" s="43"/>
      <c r="M516" s="43"/>
      <c r="N516" s="43"/>
      <c r="O516" s="43"/>
      <c r="P516" s="43"/>
      <c r="Q516" s="43"/>
      <c r="R516" s="43"/>
      <c r="S516" s="43"/>
      <c r="T516" s="43"/>
      <c r="U516" s="43"/>
      <c r="V516" s="43"/>
      <c r="W516" s="43"/>
      <c r="X516" s="43"/>
      <c r="Y516" s="43"/>
      <c r="Z516" s="43"/>
      <c r="AA516" s="44"/>
    </row>
    <row r="517" spans="1:27" x14ac:dyDescent="0.3">
      <c r="A517">
        <v>2</v>
      </c>
      <c r="B517">
        <f t="shared" ca="1" si="89"/>
        <v>0</v>
      </c>
      <c r="C517">
        <f t="shared" ca="1" si="90"/>
        <v>0</v>
      </c>
      <c r="D517">
        <f t="shared" ca="1" si="91"/>
        <v>1</v>
      </c>
      <c r="I517" s="42"/>
      <c r="J517" s="43"/>
      <c r="K517" s="43"/>
      <c r="L517" s="43"/>
      <c r="M517" s="43"/>
      <c r="N517" s="43"/>
      <c r="O517" s="43"/>
      <c r="P517" s="43"/>
      <c r="Q517" s="43"/>
      <c r="R517" s="43"/>
      <c r="S517" s="43"/>
      <c r="T517" s="43"/>
      <c r="U517" s="43"/>
      <c r="V517" s="43"/>
      <c r="W517" s="43"/>
      <c r="X517" s="43"/>
      <c r="Y517" s="43"/>
      <c r="Z517" s="43"/>
      <c r="AA517" s="44"/>
    </row>
    <row r="518" spans="1:27" x14ac:dyDescent="0.3">
      <c r="A518">
        <v>2</v>
      </c>
      <c r="B518">
        <f t="shared" ca="1" si="89"/>
        <v>0</v>
      </c>
      <c r="C518">
        <f t="shared" ca="1" si="90"/>
        <v>0</v>
      </c>
      <c r="D518">
        <f t="shared" ca="1" si="91"/>
        <v>1</v>
      </c>
      <c r="I518" s="42"/>
      <c r="J518" s="43"/>
      <c r="K518" s="43"/>
      <c r="L518" s="43"/>
      <c r="M518" s="43"/>
      <c r="N518" s="43"/>
      <c r="O518" s="43"/>
      <c r="P518" s="43"/>
      <c r="Q518" s="43"/>
      <c r="R518" s="43"/>
      <c r="S518" s="43"/>
      <c r="T518" s="43"/>
      <c r="U518" s="43"/>
      <c r="V518" s="43"/>
      <c r="W518" s="43"/>
      <c r="X518" s="43"/>
      <c r="Y518" s="43"/>
      <c r="Z518" s="43"/>
      <c r="AA518" s="44"/>
    </row>
    <row r="519" spans="1:27" x14ac:dyDescent="0.3">
      <c r="A519">
        <v>2</v>
      </c>
      <c r="B519">
        <f t="shared" ca="1" si="89"/>
        <v>0</v>
      </c>
      <c r="C519">
        <f t="shared" ca="1" si="90"/>
        <v>0</v>
      </c>
      <c r="D519">
        <f t="shared" ca="1" si="91"/>
        <v>1</v>
      </c>
      <c r="I519" s="42"/>
      <c r="J519" s="43"/>
      <c r="K519" s="43"/>
      <c r="L519" s="43"/>
      <c r="M519" s="43"/>
      <c r="N519" s="43"/>
      <c r="O519" s="43"/>
      <c r="P519" s="43"/>
      <c r="Q519" s="43"/>
      <c r="R519" s="43"/>
      <c r="S519" s="43"/>
      <c r="T519" s="43"/>
      <c r="U519" s="43"/>
      <c r="V519" s="43"/>
      <c r="W519" s="43"/>
      <c r="X519" s="43"/>
      <c r="Y519" s="43"/>
      <c r="Z519" s="43"/>
      <c r="AA519" s="44"/>
    </row>
    <row r="520" spans="1:27" x14ac:dyDescent="0.3">
      <c r="A520">
        <v>2</v>
      </c>
      <c r="B520">
        <f t="shared" ca="1" si="89"/>
        <v>0</v>
      </c>
      <c r="C520">
        <f t="shared" ca="1" si="90"/>
        <v>0</v>
      </c>
      <c r="D520">
        <f t="shared" ca="1" si="91"/>
        <v>1</v>
      </c>
      <c r="I520" s="42"/>
      <c r="J520" s="43"/>
      <c r="K520" s="43"/>
      <c r="L520" s="43"/>
      <c r="M520" s="43"/>
      <c r="N520" s="43"/>
      <c r="O520" s="43"/>
      <c r="P520" s="43"/>
      <c r="Q520" s="43"/>
      <c r="R520" s="43"/>
      <c r="S520" s="43"/>
      <c r="T520" s="43"/>
      <c r="U520" s="43"/>
      <c r="V520" s="43"/>
      <c r="W520" s="43"/>
      <c r="X520" s="43"/>
      <c r="Y520" s="43"/>
      <c r="Z520" s="43"/>
      <c r="AA520" s="44"/>
    </row>
    <row r="521" spans="1:27" x14ac:dyDescent="0.3">
      <c r="A521">
        <v>1</v>
      </c>
      <c r="B521">
        <f t="shared" ca="1" si="89"/>
        <v>1</v>
      </c>
      <c r="C521">
        <f t="shared" ca="1" si="90"/>
        <v>0</v>
      </c>
      <c r="D521">
        <f t="shared" ca="1" si="91"/>
        <v>0</v>
      </c>
      <c r="I521" s="42"/>
      <c r="J521" s="43"/>
      <c r="K521" s="43"/>
      <c r="L521" s="43"/>
      <c r="M521" s="43"/>
      <c r="N521" s="43"/>
      <c r="O521" s="43"/>
      <c r="P521" s="43"/>
      <c r="Q521" s="43"/>
      <c r="R521" s="43"/>
      <c r="S521" s="43"/>
      <c r="T521" s="43"/>
      <c r="U521" s="43"/>
      <c r="V521" s="43"/>
      <c r="W521" s="43"/>
      <c r="X521" s="43"/>
      <c r="Y521" s="43"/>
      <c r="Z521" s="43"/>
      <c r="AA521" s="44"/>
    </row>
    <row r="522" spans="1:27" x14ac:dyDescent="0.3">
      <c r="A522">
        <v>1</v>
      </c>
      <c r="B522">
        <f t="shared" ca="1" si="89"/>
        <v>0</v>
      </c>
      <c r="C522">
        <f t="shared" ca="1" si="90"/>
        <v>0</v>
      </c>
      <c r="D522">
        <f t="shared" ca="1" si="91"/>
        <v>1</v>
      </c>
      <c r="I522" s="42"/>
      <c r="J522" s="43"/>
      <c r="K522" s="43"/>
      <c r="L522" s="43"/>
      <c r="M522" s="43"/>
      <c r="N522" s="43"/>
      <c r="O522" s="43"/>
      <c r="P522" s="43"/>
      <c r="Q522" s="43"/>
      <c r="R522" s="43"/>
      <c r="S522" s="43"/>
      <c r="T522" s="43"/>
      <c r="U522" s="43"/>
      <c r="V522" s="43"/>
      <c r="W522" s="43"/>
      <c r="X522" s="43"/>
      <c r="Y522" s="43"/>
      <c r="Z522" s="43"/>
      <c r="AA522" s="44"/>
    </row>
    <row r="523" spans="1:27" x14ac:dyDescent="0.3">
      <c r="A523">
        <v>1</v>
      </c>
      <c r="B523">
        <f t="shared" ca="1" si="89"/>
        <v>0</v>
      </c>
      <c r="C523">
        <f t="shared" ca="1" si="90"/>
        <v>0</v>
      </c>
      <c r="D523">
        <f t="shared" ca="1" si="91"/>
        <v>1</v>
      </c>
      <c r="I523" s="42"/>
      <c r="J523" s="43"/>
      <c r="K523" s="43"/>
      <c r="L523" s="43"/>
      <c r="M523" s="43"/>
      <c r="N523" s="43"/>
      <c r="O523" s="43"/>
      <c r="P523" s="43"/>
      <c r="Q523" s="43"/>
      <c r="R523" s="43"/>
      <c r="S523" s="43"/>
      <c r="T523" s="43"/>
      <c r="U523" s="43"/>
      <c r="V523" s="43"/>
      <c r="W523" s="43"/>
      <c r="X523" s="43"/>
      <c r="Y523" s="43"/>
      <c r="Z523" s="43"/>
      <c r="AA523" s="44"/>
    </row>
    <row r="524" spans="1:27" x14ac:dyDescent="0.3">
      <c r="A524">
        <v>1</v>
      </c>
      <c r="B524">
        <f t="shared" ca="1" si="89"/>
        <v>0</v>
      </c>
      <c r="C524">
        <f t="shared" ca="1" si="90"/>
        <v>0</v>
      </c>
      <c r="D524">
        <f t="shared" ca="1" si="91"/>
        <v>1</v>
      </c>
      <c r="I524" s="42"/>
      <c r="J524" s="43"/>
      <c r="K524" s="43"/>
      <c r="L524" s="43"/>
      <c r="M524" s="43"/>
      <c r="N524" s="43"/>
      <c r="O524" s="43"/>
      <c r="P524" s="43"/>
      <c r="Q524" s="43"/>
      <c r="R524" s="43"/>
      <c r="S524" s="43"/>
      <c r="T524" s="43"/>
      <c r="U524" s="43"/>
      <c r="V524" s="43"/>
      <c r="W524" s="43"/>
      <c r="X524" s="43"/>
      <c r="Y524" s="43"/>
      <c r="Z524" s="43"/>
      <c r="AA524" s="44"/>
    </row>
    <row r="525" spans="1:27" x14ac:dyDescent="0.3">
      <c r="A525">
        <v>1</v>
      </c>
      <c r="B525">
        <f t="shared" ca="1" si="89"/>
        <v>0</v>
      </c>
      <c r="C525">
        <f t="shared" ca="1" si="90"/>
        <v>0</v>
      </c>
      <c r="D525">
        <f t="shared" ca="1" si="91"/>
        <v>1</v>
      </c>
      <c r="I525" s="42"/>
      <c r="J525" s="43"/>
      <c r="K525" s="43"/>
      <c r="L525" s="43"/>
      <c r="M525" s="43"/>
      <c r="N525" s="43"/>
      <c r="O525" s="43"/>
      <c r="P525" s="43"/>
      <c r="Q525" s="43"/>
      <c r="R525" s="43"/>
      <c r="S525" s="43"/>
      <c r="T525" s="43"/>
      <c r="U525" s="43"/>
      <c r="V525" s="43"/>
      <c r="W525" s="43"/>
      <c r="X525" s="43"/>
      <c r="Y525" s="43"/>
      <c r="Z525" s="43"/>
      <c r="AA525" s="44"/>
    </row>
    <row r="526" spans="1:27" x14ac:dyDescent="0.3">
      <c r="A526">
        <v>1</v>
      </c>
      <c r="B526">
        <f t="shared" ca="1" si="89"/>
        <v>1</v>
      </c>
      <c r="C526">
        <f t="shared" ca="1" si="90"/>
        <v>0</v>
      </c>
      <c r="D526">
        <f t="shared" ca="1" si="91"/>
        <v>0</v>
      </c>
      <c r="I526" s="42"/>
      <c r="J526" s="43"/>
      <c r="K526" s="43"/>
      <c r="L526" s="43"/>
      <c r="M526" s="43"/>
      <c r="N526" s="43"/>
      <c r="O526" s="43"/>
      <c r="P526" s="43"/>
      <c r="Q526" s="43"/>
      <c r="R526" s="43"/>
      <c r="S526" s="43"/>
      <c r="T526" s="43"/>
      <c r="U526" s="43"/>
      <c r="V526" s="43"/>
      <c r="W526" s="43"/>
      <c r="X526" s="43"/>
      <c r="Y526" s="43"/>
      <c r="Z526" s="43"/>
      <c r="AA526" s="44"/>
    </row>
    <row r="527" spans="1:27" x14ac:dyDescent="0.3">
      <c r="A527">
        <v>1</v>
      </c>
      <c r="B527">
        <f t="shared" ca="1" si="89"/>
        <v>1</v>
      </c>
      <c r="C527">
        <f t="shared" ca="1" si="90"/>
        <v>0</v>
      </c>
      <c r="D527">
        <f t="shared" ca="1" si="91"/>
        <v>0</v>
      </c>
      <c r="I527" s="42"/>
      <c r="J527" s="43"/>
      <c r="K527" s="43"/>
      <c r="L527" s="43"/>
      <c r="M527" s="43"/>
      <c r="N527" s="43"/>
      <c r="O527" s="43"/>
      <c r="P527" s="43"/>
      <c r="Q527" s="43"/>
      <c r="R527" s="43"/>
      <c r="S527" s="43"/>
      <c r="T527" s="43"/>
      <c r="U527" s="43"/>
      <c r="V527" s="43"/>
      <c r="W527" s="43"/>
      <c r="X527" s="43"/>
      <c r="Y527" s="43"/>
      <c r="Z527" s="43"/>
      <c r="AA527" s="44"/>
    </row>
    <row r="528" spans="1:27" x14ac:dyDescent="0.3">
      <c r="A528">
        <v>1</v>
      </c>
      <c r="B528">
        <f t="shared" ca="1" si="89"/>
        <v>0</v>
      </c>
      <c r="C528">
        <f t="shared" ca="1" si="90"/>
        <v>0</v>
      </c>
      <c r="D528">
        <f t="shared" ca="1" si="91"/>
        <v>1</v>
      </c>
      <c r="I528" s="42"/>
      <c r="J528" s="43"/>
      <c r="K528" s="43"/>
      <c r="L528" s="43"/>
      <c r="M528" s="43"/>
      <c r="N528" s="43"/>
      <c r="O528" s="43"/>
      <c r="P528" s="43"/>
      <c r="Q528" s="43"/>
      <c r="R528" s="43"/>
      <c r="S528" s="43"/>
      <c r="T528" s="43"/>
      <c r="U528" s="43"/>
      <c r="V528" s="43"/>
      <c r="W528" s="43"/>
      <c r="X528" s="43"/>
      <c r="Y528" s="43"/>
      <c r="Z528" s="43"/>
      <c r="AA528" s="44"/>
    </row>
    <row r="529" spans="1:27" x14ac:dyDescent="0.3">
      <c r="A529">
        <v>1</v>
      </c>
      <c r="B529">
        <f t="shared" ca="1" si="89"/>
        <v>0</v>
      </c>
      <c r="C529">
        <f t="shared" ca="1" si="90"/>
        <v>1</v>
      </c>
      <c r="D529">
        <f t="shared" ca="1" si="91"/>
        <v>0</v>
      </c>
      <c r="I529" s="42"/>
      <c r="J529" s="43"/>
      <c r="K529" s="43"/>
      <c r="L529" s="43"/>
      <c r="M529" s="43"/>
      <c r="N529" s="43"/>
      <c r="O529" s="43"/>
      <c r="P529" s="43"/>
      <c r="Q529" s="43"/>
      <c r="R529" s="43"/>
      <c r="S529" s="43"/>
      <c r="T529" s="43"/>
      <c r="U529" s="43"/>
      <c r="V529" s="43"/>
      <c r="W529" s="43"/>
      <c r="X529" s="43"/>
      <c r="Y529" s="43"/>
      <c r="Z529" s="43"/>
      <c r="AA529" s="44"/>
    </row>
    <row r="530" spans="1:27" x14ac:dyDescent="0.3">
      <c r="A530">
        <v>1</v>
      </c>
      <c r="B530">
        <f t="shared" ca="1" si="89"/>
        <v>1</v>
      </c>
      <c r="C530">
        <f t="shared" ca="1" si="90"/>
        <v>0</v>
      </c>
      <c r="D530">
        <f t="shared" ca="1" si="91"/>
        <v>0</v>
      </c>
      <c r="I530" s="42"/>
      <c r="J530" s="43"/>
      <c r="K530" s="43"/>
      <c r="L530" s="43"/>
      <c r="M530" s="43"/>
      <c r="N530" s="43"/>
      <c r="O530" s="43"/>
      <c r="P530" s="43"/>
      <c r="Q530" s="43"/>
      <c r="R530" s="43"/>
      <c r="S530" s="43"/>
      <c r="T530" s="43"/>
      <c r="U530" s="43"/>
      <c r="V530" s="43"/>
      <c r="W530" s="43"/>
      <c r="X530" s="43"/>
      <c r="Y530" s="43"/>
      <c r="Z530" s="43"/>
      <c r="AA530" s="44"/>
    </row>
    <row r="531" spans="1:27" ht="15" thickBot="1" x14ac:dyDescent="0.35">
      <c r="A531">
        <v>1</v>
      </c>
      <c r="B531">
        <f t="shared" ca="1" si="89"/>
        <v>0</v>
      </c>
      <c r="C531">
        <f t="shared" ca="1" si="90"/>
        <v>0</v>
      </c>
      <c r="D531">
        <f t="shared" ca="1" si="91"/>
        <v>1</v>
      </c>
      <c r="I531" s="47"/>
      <c r="J531" s="48"/>
      <c r="K531" s="48"/>
      <c r="L531" s="48"/>
      <c r="M531" s="48"/>
      <c r="N531" s="48"/>
      <c r="O531" s="48"/>
      <c r="P531" s="48"/>
      <c r="Q531" s="48"/>
      <c r="R531" s="48"/>
      <c r="S531" s="48"/>
      <c r="T531" s="48"/>
      <c r="U531" s="48"/>
      <c r="V531" s="48"/>
      <c r="W531" s="48"/>
      <c r="X531" s="48"/>
      <c r="Y531" s="48"/>
      <c r="Z531" s="48"/>
      <c r="AA531" s="49"/>
    </row>
    <row r="532" spans="1:27" x14ac:dyDescent="0.3">
      <c r="A532">
        <v>1</v>
      </c>
      <c r="B532">
        <f t="shared" ca="1" si="89"/>
        <v>0</v>
      </c>
      <c r="C532">
        <f t="shared" ca="1" si="90"/>
        <v>0</v>
      </c>
      <c r="D532">
        <f t="shared" ca="1" si="91"/>
        <v>1</v>
      </c>
    </row>
    <row r="533" spans="1:27" x14ac:dyDescent="0.3">
      <c r="A533">
        <v>1</v>
      </c>
      <c r="B533">
        <f t="shared" ca="1" si="89"/>
        <v>1</v>
      </c>
      <c r="C533">
        <f t="shared" ca="1" si="90"/>
        <v>0</v>
      </c>
      <c r="D533">
        <f t="shared" ca="1" si="91"/>
        <v>0</v>
      </c>
    </row>
    <row r="534" spans="1:27" x14ac:dyDescent="0.3">
      <c r="A534">
        <v>1</v>
      </c>
      <c r="B534">
        <f t="shared" ca="1" si="89"/>
        <v>0</v>
      </c>
      <c r="C534">
        <f t="shared" ca="1" si="90"/>
        <v>0</v>
      </c>
      <c r="D534">
        <f t="shared" ca="1" si="91"/>
        <v>1</v>
      </c>
    </row>
    <row r="535" spans="1:27" x14ac:dyDescent="0.3">
      <c r="A535">
        <v>1</v>
      </c>
      <c r="B535">
        <f t="shared" ca="1" si="89"/>
        <v>0</v>
      </c>
      <c r="C535">
        <f t="shared" ca="1" si="90"/>
        <v>1</v>
      </c>
      <c r="D535">
        <f t="shared" ca="1" si="91"/>
        <v>0</v>
      </c>
    </row>
    <row r="536" spans="1:27" x14ac:dyDescent="0.3">
      <c r="A536">
        <v>1</v>
      </c>
      <c r="B536">
        <f t="shared" ca="1" si="89"/>
        <v>0</v>
      </c>
      <c r="C536">
        <f t="shared" ca="1" si="90"/>
        <v>0</v>
      </c>
      <c r="D536">
        <f t="shared" ca="1" si="91"/>
        <v>1</v>
      </c>
    </row>
    <row r="537" spans="1:27" x14ac:dyDescent="0.3">
      <c r="A537">
        <v>1</v>
      </c>
      <c r="B537">
        <f t="shared" ca="1" si="89"/>
        <v>0</v>
      </c>
      <c r="C537">
        <f t="shared" ca="1" si="90"/>
        <v>0</v>
      </c>
      <c r="D537">
        <f t="shared" ca="1" si="91"/>
        <v>1</v>
      </c>
    </row>
    <row r="538" spans="1:27" x14ac:dyDescent="0.3">
      <c r="A538">
        <v>1</v>
      </c>
      <c r="B538">
        <f t="shared" ca="1" si="89"/>
        <v>0</v>
      </c>
      <c r="C538">
        <f t="shared" ca="1" si="90"/>
        <v>0</v>
      </c>
      <c r="D538">
        <f t="shared" ca="1" si="91"/>
        <v>1</v>
      </c>
    </row>
    <row r="539" spans="1:27" x14ac:dyDescent="0.3">
      <c r="A539">
        <v>1</v>
      </c>
      <c r="B539">
        <f t="shared" ca="1" si="89"/>
        <v>0</v>
      </c>
      <c r="C539">
        <f t="shared" ca="1" si="90"/>
        <v>0</v>
      </c>
      <c r="D539">
        <f t="shared" ca="1" si="91"/>
        <v>1</v>
      </c>
    </row>
    <row r="540" spans="1:27" x14ac:dyDescent="0.3">
      <c r="A540">
        <v>1</v>
      </c>
      <c r="B540">
        <f t="shared" ca="1" si="89"/>
        <v>0</v>
      </c>
      <c r="C540">
        <f t="shared" ca="1" si="90"/>
        <v>0</v>
      </c>
      <c r="D540">
        <f t="shared" ca="1" si="91"/>
        <v>1</v>
      </c>
    </row>
    <row r="541" spans="1:27" x14ac:dyDescent="0.3">
      <c r="A541">
        <v>1</v>
      </c>
      <c r="B541">
        <f t="shared" ca="1" si="89"/>
        <v>0</v>
      </c>
      <c r="C541">
        <f t="shared" ca="1" si="90"/>
        <v>1</v>
      </c>
      <c r="D541">
        <f t="shared" ca="1" si="91"/>
        <v>0</v>
      </c>
    </row>
    <row r="542" spans="1:27" x14ac:dyDescent="0.3">
      <c r="A542">
        <v>1</v>
      </c>
      <c r="B542">
        <f t="shared" ca="1" si="89"/>
        <v>0</v>
      </c>
      <c r="C542">
        <f t="shared" ca="1" si="90"/>
        <v>0</v>
      </c>
      <c r="D542">
        <f t="shared" ca="1" si="91"/>
        <v>1</v>
      </c>
    </row>
    <row r="543" spans="1:27" x14ac:dyDescent="0.3">
      <c r="A543">
        <v>0</v>
      </c>
      <c r="B543">
        <f t="shared" ca="1" si="89"/>
        <v>0</v>
      </c>
      <c r="C543">
        <f t="shared" ca="1" si="90"/>
        <v>0</v>
      </c>
      <c r="D543">
        <f t="shared" ca="1" si="91"/>
        <v>1</v>
      </c>
    </row>
    <row r="544" spans="1:27" x14ac:dyDescent="0.3">
      <c r="A544">
        <v>0</v>
      </c>
      <c r="B544">
        <f t="shared" ca="1" si="89"/>
        <v>0</v>
      </c>
      <c r="C544">
        <f t="shared" ca="1" si="90"/>
        <v>1</v>
      </c>
      <c r="D544">
        <f t="shared" ca="1" si="91"/>
        <v>0</v>
      </c>
    </row>
    <row r="545" spans="1:4" x14ac:dyDescent="0.3">
      <c r="A545">
        <v>0</v>
      </c>
      <c r="B545">
        <f t="shared" ca="1" si="89"/>
        <v>0</v>
      </c>
      <c r="C545">
        <f t="shared" ca="1" si="90"/>
        <v>0</v>
      </c>
      <c r="D545">
        <f t="shared" ca="1" si="91"/>
        <v>1</v>
      </c>
    </row>
    <row r="546" spans="1:4" x14ac:dyDescent="0.3">
      <c r="A546">
        <v>0</v>
      </c>
      <c r="B546">
        <f t="shared" ca="1" si="89"/>
        <v>0</v>
      </c>
      <c r="C546">
        <f t="shared" ca="1" si="90"/>
        <v>0</v>
      </c>
      <c r="D546">
        <f t="shared" ca="1" si="91"/>
        <v>1</v>
      </c>
    </row>
    <row r="547" spans="1:4" x14ac:dyDescent="0.3">
      <c r="A547">
        <v>0</v>
      </c>
      <c r="B547">
        <f t="shared" ca="1" si="89"/>
        <v>0</v>
      </c>
      <c r="C547">
        <f t="shared" ca="1" si="90"/>
        <v>0</v>
      </c>
      <c r="D547">
        <f t="shared" ca="1" si="91"/>
        <v>1</v>
      </c>
    </row>
    <row r="548" spans="1:4" x14ac:dyDescent="0.3">
      <c r="A548">
        <v>0</v>
      </c>
      <c r="B548">
        <f t="shared" ca="1" si="89"/>
        <v>0</v>
      </c>
      <c r="C548">
        <f t="shared" ca="1" si="90"/>
        <v>0</v>
      </c>
      <c r="D548">
        <f t="shared" ca="1" si="91"/>
        <v>1</v>
      </c>
    </row>
    <row r="549" spans="1:4" x14ac:dyDescent="0.3">
      <c r="A549">
        <v>0</v>
      </c>
      <c r="B549">
        <f t="shared" ca="1" si="89"/>
        <v>1</v>
      </c>
      <c r="C549">
        <f t="shared" ca="1" si="90"/>
        <v>0</v>
      </c>
      <c r="D549">
        <f t="shared" ca="1" si="91"/>
        <v>0</v>
      </c>
    </row>
    <row r="550" spans="1:4" x14ac:dyDescent="0.3">
      <c r="A550">
        <v>0</v>
      </c>
      <c r="B550">
        <f t="shared" ca="1" si="89"/>
        <v>0</v>
      </c>
      <c r="C550">
        <f t="shared" ca="1" si="90"/>
        <v>1</v>
      </c>
      <c r="D550">
        <f t="shared" ca="1" si="91"/>
        <v>0</v>
      </c>
    </row>
    <row r="551" spans="1:4" x14ac:dyDescent="0.3">
      <c r="A551">
        <v>0</v>
      </c>
      <c r="B551">
        <f t="shared" ca="1" si="89"/>
        <v>0</v>
      </c>
      <c r="C551">
        <f t="shared" ca="1" si="90"/>
        <v>0</v>
      </c>
      <c r="D551">
        <f t="shared" ca="1" si="91"/>
        <v>1</v>
      </c>
    </row>
    <row r="552" spans="1:4" x14ac:dyDescent="0.3">
      <c r="A552">
        <v>0</v>
      </c>
      <c r="B552">
        <f t="shared" ca="1" si="89"/>
        <v>0</v>
      </c>
      <c r="C552">
        <f t="shared" ca="1" si="90"/>
        <v>0</v>
      </c>
      <c r="D552">
        <f t="shared" ca="1" si="91"/>
        <v>1</v>
      </c>
    </row>
    <row r="553" spans="1:4" x14ac:dyDescent="0.3">
      <c r="A553">
        <v>0</v>
      </c>
      <c r="B553">
        <f t="shared" ca="1" si="89"/>
        <v>0</v>
      </c>
      <c r="C553">
        <f t="shared" ca="1" si="90"/>
        <v>0</v>
      </c>
      <c r="D553">
        <f t="shared" ca="1" si="91"/>
        <v>1</v>
      </c>
    </row>
    <row r="554" spans="1:4" x14ac:dyDescent="0.3">
      <c r="A554">
        <v>0</v>
      </c>
      <c r="B554">
        <f t="shared" ca="1" si="89"/>
        <v>0</v>
      </c>
      <c r="C554">
        <f t="shared" ca="1" si="90"/>
        <v>0</v>
      </c>
      <c r="D554">
        <f t="shared" ca="1" si="91"/>
        <v>1</v>
      </c>
    </row>
    <row r="555" spans="1:4" x14ac:dyDescent="0.3">
      <c r="A555">
        <v>0</v>
      </c>
      <c r="B555">
        <f t="shared" ca="1" si="89"/>
        <v>0</v>
      </c>
      <c r="C555">
        <f t="shared" ca="1" si="90"/>
        <v>0</v>
      </c>
      <c r="D555">
        <f t="shared" ca="1" si="91"/>
        <v>1</v>
      </c>
    </row>
    <row r="556" spans="1:4" x14ac:dyDescent="0.3">
      <c r="A556">
        <v>0</v>
      </c>
      <c r="B556">
        <f t="shared" ca="1" si="89"/>
        <v>0</v>
      </c>
      <c r="C556">
        <f t="shared" ca="1" si="90"/>
        <v>0</v>
      </c>
      <c r="D556">
        <f t="shared" ca="1" si="91"/>
        <v>1</v>
      </c>
    </row>
    <row r="557" spans="1:4" x14ac:dyDescent="0.3">
      <c r="A557">
        <v>0</v>
      </c>
      <c r="B557">
        <f t="shared" ca="1" si="89"/>
        <v>0</v>
      </c>
      <c r="C557">
        <f t="shared" ca="1" si="90"/>
        <v>1</v>
      </c>
      <c r="D557">
        <f t="shared" ca="1" si="91"/>
        <v>0</v>
      </c>
    </row>
    <row r="558" spans="1:4" x14ac:dyDescent="0.3">
      <c r="A558">
        <v>0</v>
      </c>
      <c r="B558">
        <f t="shared" ca="1" si="89"/>
        <v>0</v>
      </c>
      <c r="C558">
        <f t="shared" ca="1" si="90"/>
        <v>0</v>
      </c>
      <c r="D558">
        <f t="shared" ca="1" si="91"/>
        <v>1</v>
      </c>
    </row>
    <row r="559" spans="1:4" x14ac:dyDescent="0.3">
      <c r="A559">
        <v>0</v>
      </c>
      <c r="B559">
        <f t="shared" ca="1" si="89"/>
        <v>0</v>
      </c>
      <c r="C559">
        <f t="shared" ca="1" si="90"/>
        <v>0</v>
      </c>
      <c r="D559">
        <f t="shared" ca="1" si="91"/>
        <v>1</v>
      </c>
    </row>
    <row r="560" spans="1:4" x14ac:dyDescent="0.3">
      <c r="A560">
        <v>0</v>
      </c>
      <c r="B560">
        <f t="shared" ca="1" si="89"/>
        <v>0</v>
      </c>
      <c r="C560">
        <f t="shared" ca="1" si="90"/>
        <v>0</v>
      </c>
      <c r="D560">
        <f t="shared" ca="1" si="91"/>
        <v>1</v>
      </c>
    </row>
    <row r="561" spans="1:4" x14ac:dyDescent="0.3">
      <c r="A561">
        <v>0</v>
      </c>
      <c r="B561">
        <f t="shared" ca="1" si="89"/>
        <v>0</v>
      </c>
      <c r="C561">
        <f t="shared" ca="1" si="90"/>
        <v>0</v>
      </c>
      <c r="D561">
        <f t="shared" ca="1" si="91"/>
        <v>1</v>
      </c>
    </row>
    <row r="562" spans="1:4" x14ac:dyDescent="0.3">
      <c r="A562">
        <v>0</v>
      </c>
      <c r="B562">
        <f t="shared" ca="1" si="89"/>
        <v>0</v>
      </c>
      <c r="C562">
        <f t="shared" ca="1" si="90"/>
        <v>0</v>
      </c>
      <c r="D562">
        <f t="shared" ca="1" si="91"/>
        <v>1</v>
      </c>
    </row>
    <row r="563" spans="1:4" x14ac:dyDescent="0.3">
      <c r="A563">
        <v>0</v>
      </c>
      <c r="B563">
        <f t="shared" ca="1" si="89"/>
        <v>0</v>
      </c>
      <c r="C563">
        <f t="shared" ca="1" si="90"/>
        <v>0</v>
      </c>
      <c r="D563">
        <f t="shared" ca="1" si="91"/>
        <v>1</v>
      </c>
    </row>
    <row r="564" spans="1:4" x14ac:dyDescent="0.3">
      <c r="A564">
        <v>0</v>
      </c>
      <c r="B564">
        <f t="shared" ca="1" si="89"/>
        <v>0</v>
      </c>
      <c r="C564">
        <f t="shared" ca="1" si="90"/>
        <v>0</v>
      </c>
      <c r="D564">
        <f t="shared" ca="1" si="91"/>
        <v>1</v>
      </c>
    </row>
    <row r="565" spans="1:4" x14ac:dyDescent="0.3">
      <c r="A565">
        <v>0</v>
      </c>
      <c r="B565">
        <f t="shared" ca="1" si="89"/>
        <v>0</v>
      </c>
      <c r="C565">
        <f t="shared" ca="1" si="90"/>
        <v>0</v>
      </c>
      <c r="D565">
        <f t="shared" ca="1" si="91"/>
        <v>1</v>
      </c>
    </row>
    <row r="566" spans="1:4" x14ac:dyDescent="0.3">
      <c r="A566">
        <v>0</v>
      </c>
      <c r="B566">
        <f t="shared" ca="1" si="89"/>
        <v>0</v>
      </c>
      <c r="C566">
        <f t="shared" ca="1" si="90"/>
        <v>0</v>
      </c>
      <c r="D566">
        <f t="shared" ca="1" si="91"/>
        <v>1</v>
      </c>
    </row>
    <row r="567" spans="1:4" x14ac:dyDescent="0.3">
      <c r="A567">
        <v>0</v>
      </c>
      <c r="B567">
        <f t="shared" ca="1" si="89"/>
        <v>0</v>
      </c>
      <c r="C567">
        <f t="shared" ca="1" si="90"/>
        <v>0</v>
      </c>
      <c r="D567">
        <f t="shared" ca="1" si="91"/>
        <v>1</v>
      </c>
    </row>
    <row r="568" spans="1:4" x14ac:dyDescent="0.3">
      <c r="A568">
        <v>0</v>
      </c>
      <c r="B568">
        <f t="shared" ca="1" si="89"/>
        <v>0</v>
      </c>
      <c r="C568">
        <f t="shared" ca="1" si="90"/>
        <v>0</v>
      </c>
      <c r="D568">
        <f t="shared" ca="1" si="91"/>
        <v>1</v>
      </c>
    </row>
    <row r="569" spans="1:4" x14ac:dyDescent="0.3">
      <c r="A569">
        <v>0</v>
      </c>
      <c r="B569">
        <f t="shared" ca="1" si="89"/>
        <v>0</v>
      </c>
      <c r="C569">
        <f t="shared" ca="1" si="90"/>
        <v>0</v>
      </c>
      <c r="D569">
        <f t="shared" ca="1" si="91"/>
        <v>1</v>
      </c>
    </row>
    <row r="570" spans="1:4" x14ac:dyDescent="0.3">
      <c r="A570">
        <v>0</v>
      </c>
      <c r="B570">
        <f t="shared" ca="1" si="89"/>
        <v>0</v>
      </c>
      <c r="C570">
        <f t="shared" ca="1" si="90"/>
        <v>0</v>
      </c>
      <c r="D570">
        <f t="shared" ca="1" si="91"/>
        <v>1</v>
      </c>
    </row>
    <row r="571" spans="1:4" x14ac:dyDescent="0.3">
      <c r="A571">
        <v>0</v>
      </c>
      <c r="B571">
        <f t="shared" ref="B571:B634" ca="1" si="92">$AN194</f>
        <v>0</v>
      </c>
      <c r="C571">
        <f t="shared" ref="C571:C634" ca="1" si="93">$AO194</f>
        <v>0</v>
      </c>
      <c r="D571">
        <f t="shared" ref="D571:D634" ca="1" si="94">$AQ194</f>
        <v>1</v>
      </c>
    </row>
    <row r="572" spans="1:4" x14ac:dyDescent="0.3">
      <c r="A572">
        <v>0</v>
      </c>
      <c r="B572">
        <f t="shared" ca="1" si="92"/>
        <v>0</v>
      </c>
      <c r="C572">
        <f t="shared" ca="1" si="93"/>
        <v>0</v>
      </c>
      <c r="D572">
        <f t="shared" ca="1" si="94"/>
        <v>1</v>
      </c>
    </row>
    <row r="573" spans="1:4" x14ac:dyDescent="0.3">
      <c r="A573">
        <v>0</v>
      </c>
      <c r="B573">
        <f t="shared" ca="1" si="92"/>
        <v>0</v>
      </c>
      <c r="C573">
        <f t="shared" ca="1" si="93"/>
        <v>0</v>
      </c>
      <c r="D573">
        <f t="shared" ca="1" si="94"/>
        <v>1</v>
      </c>
    </row>
    <row r="574" spans="1:4" x14ac:dyDescent="0.3">
      <c r="A574">
        <v>0</v>
      </c>
      <c r="B574">
        <f t="shared" ca="1" si="92"/>
        <v>0</v>
      </c>
      <c r="C574">
        <f t="shared" ca="1" si="93"/>
        <v>0</v>
      </c>
      <c r="D574">
        <f t="shared" ca="1" si="94"/>
        <v>1</v>
      </c>
    </row>
    <row r="575" spans="1:4" x14ac:dyDescent="0.3">
      <c r="A575">
        <v>0</v>
      </c>
      <c r="B575">
        <f t="shared" ca="1" si="92"/>
        <v>0</v>
      </c>
      <c r="C575">
        <f t="shared" ca="1" si="93"/>
        <v>0</v>
      </c>
      <c r="D575">
        <f t="shared" ca="1" si="94"/>
        <v>1</v>
      </c>
    </row>
    <row r="576" spans="1:4" x14ac:dyDescent="0.3">
      <c r="A576">
        <v>0</v>
      </c>
      <c r="B576">
        <f t="shared" ca="1" si="92"/>
        <v>0</v>
      </c>
      <c r="C576">
        <f t="shared" ca="1" si="93"/>
        <v>0</v>
      </c>
      <c r="D576">
        <f t="shared" ca="1" si="94"/>
        <v>1</v>
      </c>
    </row>
    <row r="577" spans="1:4" x14ac:dyDescent="0.3">
      <c r="A577">
        <v>0</v>
      </c>
      <c r="B577">
        <f t="shared" ca="1" si="92"/>
        <v>0</v>
      </c>
      <c r="C577">
        <f t="shared" ca="1" si="93"/>
        <v>0</v>
      </c>
      <c r="D577">
        <f t="shared" ca="1" si="94"/>
        <v>1</v>
      </c>
    </row>
    <row r="578" spans="1:4" x14ac:dyDescent="0.3">
      <c r="A578">
        <v>0</v>
      </c>
      <c r="B578">
        <f t="shared" ca="1" si="92"/>
        <v>1</v>
      </c>
      <c r="C578">
        <f t="shared" ca="1" si="93"/>
        <v>0</v>
      </c>
      <c r="D578">
        <f t="shared" ca="1" si="94"/>
        <v>0</v>
      </c>
    </row>
    <row r="579" spans="1:4" x14ac:dyDescent="0.3">
      <c r="A579">
        <v>0</v>
      </c>
      <c r="B579">
        <f t="shared" ca="1" si="92"/>
        <v>1</v>
      </c>
      <c r="C579">
        <f t="shared" ca="1" si="93"/>
        <v>0</v>
      </c>
      <c r="D579">
        <f t="shared" ca="1" si="94"/>
        <v>0</v>
      </c>
    </row>
    <row r="580" spans="1:4" x14ac:dyDescent="0.3">
      <c r="A580">
        <v>0</v>
      </c>
      <c r="B580">
        <f t="shared" ca="1" si="92"/>
        <v>0</v>
      </c>
      <c r="C580">
        <f t="shared" ca="1" si="93"/>
        <v>0</v>
      </c>
      <c r="D580">
        <f t="shared" ca="1" si="94"/>
        <v>1</v>
      </c>
    </row>
    <row r="581" spans="1:4" x14ac:dyDescent="0.3">
      <c r="A581">
        <v>0</v>
      </c>
      <c r="B581">
        <f t="shared" ca="1" si="92"/>
        <v>0</v>
      </c>
      <c r="C581">
        <f t="shared" ca="1" si="93"/>
        <v>0</v>
      </c>
      <c r="D581">
        <f t="shared" ca="1" si="94"/>
        <v>1</v>
      </c>
    </row>
    <row r="582" spans="1:4" x14ac:dyDescent="0.3">
      <c r="A582">
        <v>0</v>
      </c>
      <c r="B582">
        <f t="shared" ca="1" si="92"/>
        <v>1</v>
      </c>
      <c r="C582">
        <f t="shared" ca="1" si="93"/>
        <v>0</v>
      </c>
      <c r="D582">
        <f t="shared" ca="1" si="94"/>
        <v>0</v>
      </c>
    </row>
    <row r="583" spans="1:4" x14ac:dyDescent="0.3">
      <c r="A583">
        <v>0</v>
      </c>
      <c r="B583">
        <f t="shared" ca="1" si="92"/>
        <v>0</v>
      </c>
      <c r="C583">
        <f t="shared" ca="1" si="93"/>
        <v>0</v>
      </c>
      <c r="D583">
        <f t="shared" ca="1" si="94"/>
        <v>1</v>
      </c>
    </row>
    <row r="584" spans="1:4" x14ac:dyDescent="0.3">
      <c r="A584">
        <v>0</v>
      </c>
      <c r="B584">
        <f t="shared" ca="1" si="92"/>
        <v>0</v>
      </c>
      <c r="C584">
        <f t="shared" ca="1" si="93"/>
        <v>0</v>
      </c>
      <c r="D584">
        <f t="shared" ca="1" si="94"/>
        <v>1</v>
      </c>
    </row>
    <row r="585" spans="1:4" x14ac:dyDescent="0.3">
      <c r="A585">
        <v>0</v>
      </c>
      <c r="B585">
        <f t="shared" ca="1" si="92"/>
        <v>0</v>
      </c>
      <c r="C585">
        <f t="shared" ca="1" si="93"/>
        <v>0</v>
      </c>
      <c r="D585">
        <f t="shared" ca="1" si="94"/>
        <v>1</v>
      </c>
    </row>
    <row r="586" spans="1:4" x14ac:dyDescent="0.3">
      <c r="A586">
        <v>0</v>
      </c>
      <c r="B586">
        <f t="shared" ca="1" si="92"/>
        <v>0</v>
      </c>
      <c r="C586">
        <f t="shared" ca="1" si="93"/>
        <v>0</v>
      </c>
      <c r="D586">
        <f t="shared" ca="1" si="94"/>
        <v>1</v>
      </c>
    </row>
    <row r="587" spans="1:4" x14ac:dyDescent="0.3">
      <c r="A587">
        <v>0</v>
      </c>
      <c r="B587">
        <f t="shared" ca="1" si="92"/>
        <v>0</v>
      </c>
      <c r="C587">
        <f t="shared" ca="1" si="93"/>
        <v>0</v>
      </c>
      <c r="D587">
        <f t="shared" ca="1" si="94"/>
        <v>1</v>
      </c>
    </row>
    <row r="588" spans="1:4" x14ac:dyDescent="0.3">
      <c r="A588">
        <v>0</v>
      </c>
      <c r="B588">
        <f t="shared" ca="1" si="92"/>
        <v>0</v>
      </c>
      <c r="C588">
        <f t="shared" ca="1" si="93"/>
        <v>0</v>
      </c>
      <c r="D588">
        <f t="shared" ca="1" si="94"/>
        <v>1</v>
      </c>
    </row>
    <row r="589" spans="1:4" x14ac:dyDescent="0.3">
      <c r="A589">
        <v>0</v>
      </c>
      <c r="B589">
        <f t="shared" ca="1" si="92"/>
        <v>0</v>
      </c>
      <c r="C589">
        <f t="shared" ca="1" si="93"/>
        <v>0</v>
      </c>
      <c r="D589">
        <f t="shared" ca="1" si="94"/>
        <v>1</v>
      </c>
    </row>
    <row r="590" spans="1:4" x14ac:dyDescent="0.3">
      <c r="A590">
        <v>0</v>
      </c>
      <c r="B590">
        <f t="shared" ca="1" si="92"/>
        <v>0</v>
      </c>
      <c r="C590">
        <f t="shared" ca="1" si="93"/>
        <v>0</v>
      </c>
      <c r="D590">
        <f t="shared" ca="1" si="94"/>
        <v>1</v>
      </c>
    </row>
    <row r="591" spans="1:4" x14ac:dyDescent="0.3">
      <c r="A591">
        <v>0</v>
      </c>
      <c r="B591">
        <f t="shared" ca="1" si="92"/>
        <v>0</v>
      </c>
      <c r="C591">
        <f t="shared" ca="1" si="93"/>
        <v>0</v>
      </c>
      <c r="D591">
        <f t="shared" ca="1" si="94"/>
        <v>1</v>
      </c>
    </row>
    <row r="592" spans="1:4" x14ac:dyDescent="0.3">
      <c r="A592">
        <v>0</v>
      </c>
      <c r="B592">
        <f t="shared" ca="1" si="92"/>
        <v>0</v>
      </c>
      <c r="C592">
        <f t="shared" ca="1" si="93"/>
        <v>0</v>
      </c>
      <c r="D592">
        <f t="shared" ca="1" si="94"/>
        <v>1</v>
      </c>
    </row>
    <row r="593" spans="1:4" x14ac:dyDescent="0.3">
      <c r="A593">
        <v>0</v>
      </c>
      <c r="B593">
        <f t="shared" ca="1" si="92"/>
        <v>0</v>
      </c>
      <c r="C593">
        <f t="shared" ca="1" si="93"/>
        <v>0</v>
      </c>
      <c r="D593">
        <f t="shared" ca="1" si="94"/>
        <v>1</v>
      </c>
    </row>
    <row r="594" spans="1:4" x14ac:dyDescent="0.3">
      <c r="A594">
        <v>0</v>
      </c>
      <c r="B594">
        <f t="shared" ca="1" si="92"/>
        <v>0</v>
      </c>
      <c r="C594">
        <f t="shared" ca="1" si="93"/>
        <v>0</v>
      </c>
      <c r="D594">
        <f t="shared" ca="1" si="94"/>
        <v>1</v>
      </c>
    </row>
    <row r="595" spans="1:4" x14ac:dyDescent="0.3">
      <c r="A595">
        <v>0</v>
      </c>
      <c r="B595">
        <f t="shared" ca="1" si="92"/>
        <v>0</v>
      </c>
      <c r="C595">
        <f t="shared" ca="1" si="93"/>
        <v>0</v>
      </c>
      <c r="D595">
        <f t="shared" ca="1" si="94"/>
        <v>1</v>
      </c>
    </row>
    <row r="596" spans="1:4" x14ac:dyDescent="0.3">
      <c r="A596">
        <v>0</v>
      </c>
      <c r="B596">
        <f t="shared" ca="1" si="92"/>
        <v>0</v>
      </c>
      <c r="C596">
        <f t="shared" ca="1" si="93"/>
        <v>0</v>
      </c>
      <c r="D596">
        <f t="shared" ca="1" si="94"/>
        <v>1</v>
      </c>
    </row>
    <row r="597" spans="1:4" x14ac:dyDescent="0.3">
      <c r="A597">
        <v>0</v>
      </c>
      <c r="B597">
        <f t="shared" ca="1" si="92"/>
        <v>0</v>
      </c>
      <c r="C597">
        <f t="shared" ca="1" si="93"/>
        <v>0</v>
      </c>
      <c r="D597">
        <f t="shared" ca="1" si="94"/>
        <v>1</v>
      </c>
    </row>
    <row r="598" spans="1:4" x14ac:dyDescent="0.3">
      <c r="A598">
        <v>0</v>
      </c>
      <c r="B598">
        <f t="shared" ca="1" si="92"/>
        <v>0</v>
      </c>
      <c r="C598">
        <f t="shared" ca="1" si="93"/>
        <v>0</v>
      </c>
      <c r="D598">
        <f t="shared" ca="1" si="94"/>
        <v>1</v>
      </c>
    </row>
    <row r="599" spans="1:4" x14ac:dyDescent="0.3">
      <c r="A599">
        <v>0</v>
      </c>
      <c r="B599">
        <f t="shared" ca="1" si="92"/>
        <v>0</v>
      </c>
      <c r="C599">
        <f t="shared" ca="1" si="93"/>
        <v>0</v>
      </c>
      <c r="D599">
        <f t="shared" ca="1" si="94"/>
        <v>1</v>
      </c>
    </row>
    <row r="600" spans="1:4" x14ac:dyDescent="0.3">
      <c r="A600">
        <v>0</v>
      </c>
      <c r="B600">
        <f t="shared" ca="1" si="92"/>
        <v>1</v>
      </c>
      <c r="C600">
        <f t="shared" ca="1" si="93"/>
        <v>0</v>
      </c>
      <c r="D600">
        <f t="shared" ca="1" si="94"/>
        <v>0</v>
      </c>
    </row>
    <row r="601" spans="1:4" x14ac:dyDescent="0.3">
      <c r="A601">
        <v>0</v>
      </c>
      <c r="B601">
        <f t="shared" ca="1" si="92"/>
        <v>0</v>
      </c>
      <c r="C601">
        <f t="shared" ca="1" si="93"/>
        <v>0</v>
      </c>
      <c r="D601">
        <f t="shared" ca="1" si="94"/>
        <v>1</v>
      </c>
    </row>
    <row r="602" spans="1:4" x14ac:dyDescent="0.3">
      <c r="A602">
        <v>0</v>
      </c>
      <c r="B602">
        <f t="shared" ca="1" si="92"/>
        <v>1</v>
      </c>
      <c r="C602">
        <f t="shared" ca="1" si="93"/>
        <v>0</v>
      </c>
      <c r="D602">
        <f t="shared" ca="1" si="94"/>
        <v>0</v>
      </c>
    </row>
    <row r="603" spans="1:4" x14ac:dyDescent="0.3">
      <c r="A603">
        <v>0</v>
      </c>
      <c r="B603">
        <f t="shared" ca="1" si="92"/>
        <v>0</v>
      </c>
      <c r="C603">
        <f t="shared" ca="1" si="93"/>
        <v>1</v>
      </c>
      <c r="D603">
        <f t="shared" ca="1" si="94"/>
        <v>0</v>
      </c>
    </row>
    <row r="604" spans="1:4" x14ac:dyDescent="0.3">
      <c r="A604">
        <v>0</v>
      </c>
      <c r="B604">
        <f t="shared" ca="1" si="92"/>
        <v>0</v>
      </c>
      <c r="C604">
        <f t="shared" ca="1" si="93"/>
        <v>0</v>
      </c>
      <c r="D604">
        <f t="shared" ca="1" si="94"/>
        <v>1</v>
      </c>
    </row>
    <row r="605" spans="1:4" x14ac:dyDescent="0.3">
      <c r="A605">
        <v>0</v>
      </c>
      <c r="B605">
        <f t="shared" ca="1" si="92"/>
        <v>0</v>
      </c>
      <c r="C605">
        <f t="shared" ca="1" si="93"/>
        <v>0</v>
      </c>
      <c r="D605">
        <f t="shared" ca="1" si="94"/>
        <v>1</v>
      </c>
    </row>
    <row r="606" spans="1:4" x14ac:dyDescent="0.3">
      <c r="A606">
        <v>0</v>
      </c>
      <c r="B606">
        <f t="shared" ca="1" si="92"/>
        <v>0</v>
      </c>
      <c r="C606">
        <f t="shared" ca="1" si="93"/>
        <v>0</v>
      </c>
      <c r="D606">
        <f t="shared" ca="1" si="94"/>
        <v>1</v>
      </c>
    </row>
    <row r="607" spans="1:4" x14ac:dyDescent="0.3">
      <c r="A607">
        <v>0</v>
      </c>
      <c r="B607">
        <f t="shared" ca="1" si="92"/>
        <v>0</v>
      </c>
      <c r="C607">
        <f t="shared" ca="1" si="93"/>
        <v>0</v>
      </c>
      <c r="D607">
        <f t="shared" ca="1" si="94"/>
        <v>1</v>
      </c>
    </row>
    <row r="608" spans="1:4" x14ac:dyDescent="0.3">
      <c r="A608">
        <v>0</v>
      </c>
      <c r="B608">
        <f t="shared" ca="1" si="92"/>
        <v>0</v>
      </c>
      <c r="C608">
        <f t="shared" ca="1" si="93"/>
        <v>0</v>
      </c>
      <c r="D608">
        <f t="shared" ca="1" si="94"/>
        <v>1</v>
      </c>
    </row>
    <row r="609" spans="1:4" x14ac:dyDescent="0.3">
      <c r="A609">
        <v>0</v>
      </c>
      <c r="B609">
        <f t="shared" ca="1" si="92"/>
        <v>0</v>
      </c>
      <c r="C609">
        <f t="shared" ca="1" si="93"/>
        <v>1</v>
      </c>
      <c r="D609">
        <f t="shared" ca="1" si="94"/>
        <v>0</v>
      </c>
    </row>
    <row r="610" spans="1:4" x14ac:dyDescent="0.3">
      <c r="A610">
        <v>0</v>
      </c>
      <c r="B610">
        <f t="shared" ca="1" si="92"/>
        <v>0</v>
      </c>
      <c r="C610">
        <f t="shared" ca="1" si="93"/>
        <v>0</v>
      </c>
      <c r="D610">
        <f t="shared" ca="1" si="94"/>
        <v>1</v>
      </c>
    </row>
    <row r="611" spans="1:4" x14ac:dyDescent="0.3">
      <c r="A611">
        <v>0</v>
      </c>
      <c r="B611">
        <f t="shared" ca="1" si="92"/>
        <v>0</v>
      </c>
      <c r="C611">
        <f t="shared" ca="1" si="93"/>
        <v>1</v>
      </c>
      <c r="D611">
        <f t="shared" ca="1" si="94"/>
        <v>0</v>
      </c>
    </row>
    <row r="612" spans="1:4" x14ac:dyDescent="0.3">
      <c r="A612">
        <v>0</v>
      </c>
      <c r="B612">
        <f t="shared" ca="1" si="92"/>
        <v>0</v>
      </c>
      <c r="C612">
        <f t="shared" ca="1" si="93"/>
        <v>0</v>
      </c>
      <c r="D612">
        <f t="shared" ca="1" si="94"/>
        <v>1</v>
      </c>
    </row>
    <row r="613" spans="1:4" x14ac:dyDescent="0.3">
      <c r="A613">
        <v>0</v>
      </c>
      <c r="B613">
        <f t="shared" ca="1" si="92"/>
        <v>0</v>
      </c>
      <c r="C613">
        <f t="shared" ca="1" si="93"/>
        <v>0</v>
      </c>
      <c r="D613">
        <f t="shared" ca="1" si="94"/>
        <v>1</v>
      </c>
    </row>
    <row r="614" spans="1:4" x14ac:dyDescent="0.3">
      <c r="A614">
        <v>0</v>
      </c>
      <c r="B614">
        <f t="shared" ca="1" si="92"/>
        <v>0</v>
      </c>
      <c r="C614">
        <f t="shared" ca="1" si="93"/>
        <v>0</v>
      </c>
      <c r="D614">
        <f t="shared" ca="1" si="94"/>
        <v>1</v>
      </c>
    </row>
    <row r="615" spans="1:4" x14ac:dyDescent="0.3">
      <c r="A615">
        <v>0</v>
      </c>
      <c r="B615">
        <f t="shared" ca="1" si="92"/>
        <v>0</v>
      </c>
      <c r="C615">
        <f t="shared" ca="1" si="93"/>
        <v>0</v>
      </c>
      <c r="D615">
        <f t="shared" ca="1" si="94"/>
        <v>1</v>
      </c>
    </row>
    <row r="616" spans="1:4" x14ac:dyDescent="0.3">
      <c r="A616">
        <v>0</v>
      </c>
      <c r="B616">
        <f t="shared" ca="1" si="92"/>
        <v>0</v>
      </c>
      <c r="C616">
        <f t="shared" ca="1" si="93"/>
        <v>0</v>
      </c>
      <c r="D616">
        <f t="shared" ca="1" si="94"/>
        <v>1</v>
      </c>
    </row>
    <row r="617" spans="1:4" x14ac:dyDescent="0.3">
      <c r="A617">
        <v>0</v>
      </c>
      <c r="B617">
        <f t="shared" ca="1" si="92"/>
        <v>0</v>
      </c>
      <c r="C617">
        <f t="shared" ca="1" si="93"/>
        <v>0</v>
      </c>
      <c r="D617">
        <f t="shared" ca="1" si="94"/>
        <v>1</v>
      </c>
    </row>
    <row r="618" spans="1:4" x14ac:dyDescent="0.3">
      <c r="A618">
        <v>0</v>
      </c>
      <c r="B618">
        <f t="shared" ca="1" si="92"/>
        <v>0</v>
      </c>
      <c r="C618">
        <f t="shared" ca="1" si="93"/>
        <v>0</v>
      </c>
      <c r="D618">
        <f t="shared" ca="1" si="94"/>
        <v>1</v>
      </c>
    </row>
    <row r="619" spans="1:4" x14ac:dyDescent="0.3">
      <c r="A619">
        <v>0</v>
      </c>
      <c r="B619">
        <f t="shared" ca="1" si="92"/>
        <v>0</v>
      </c>
      <c r="C619">
        <f t="shared" ca="1" si="93"/>
        <v>0</v>
      </c>
      <c r="D619">
        <f t="shared" ca="1" si="94"/>
        <v>1</v>
      </c>
    </row>
    <row r="620" spans="1:4" x14ac:dyDescent="0.3">
      <c r="A620">
        <v>0</v>
      </c>
      <c r="B620">
        <f t="shared" ca="1" si="92"/>
        <v>0</v>
      </c>
      <c r="C620">
        <f t="shared" ca="1" si="93"/>
        <v>0</v>
      </c>
      <c r="D620">
        <f t="shared" ca="1" si="94"/>
        <v>1</v>
      </c>
    </row>
    <row r="621" spans="1:4" x14ac:dyDescent="0.3">
      <c r="A621">
        <v>0</v>
      </c>
      <c r="B621">
        <f t="shared" ca="1" si="92"/>
        <v>0</v>
      </c>
      <c r="C621">
        <f t="shared" ca="1" si="93"/>
        <v>0</v>
      </c>
      <c r="D621">
        <f t="shared" ca="1" si="94"/>
        <v>1</v>
      </c>
    </row>
    <row r="622" spans="1:4" x14ac:dyDescent="0.3">
      <c r="A622">
        <v>0</v>
      </c>
      <c r="B622">
        <f t="shared" ca="1" si="92"/>
        <v>0</v>
      </c>
      <c r="C622">
        <f t="shared" ca="1" si="93"/>
        <v>0</v>
      </c>
      <c r="D622">
        <f t="shared" ca="1" si="94"/>
        <v>1</v>
      </c>
    </row>
    <row r="623" spans="1:4" x14ac:dyDescent="0.3">
      <c r="A623">
        <v>0</v>
      </c>
      <c r="B623">
        <f t="shared" ca="1" si="92"/>
        <v>0</v>
      </c>
      <c r="C623">
        <f t="shared" ca="1" si="93"/>
        <v>0</v>
      </c>
      <c r="D623">
        <f t="shared" ca="1" si="94"/>
        <v>1</v>
      </c>
    </row>
    <row r="624" spans="1:4" x14ac:dyDescent="0.3">
      <c r="A624">
        <v>0</v>
      </c>
      <c r="B624">
        <f t="shared" ca="1" si="92"/>
        <v>0</v>
      </c>
      <c r="C624">
        <f t="shared" ca="1" si="93"/>
        <v>0</v>
      </c>
      <c r="D624">
        <f t="shared" ca="1" si="94"/>
        <v>1</v>
      </c>
    </row>
    <row r="625" spans="1:4" x14ac:dyDescent="0.3">
      <c r="A625">
        <v>0</v>
      </c>
      <c r="B625">
        <f t="shared" ca="1" si="92"/>
        <v>0</v>
      </c>
      <c r="C625">
        <f t="shared" ca="1" si="93"/>
        <v>0</v>
      </c>
      <c r="D625">
        <f t="shared" ca="1" si="94"/>
        <v>1</v>
      </c>
    </row>
    <row r="626" spans="1:4" x14ac:dyDescent="0.3">
      <c r="A626">
        <v>0</v>
      </c>
      <c r="B626">
        <f t="shared" ca="1" si="92"/>
        <v>0</v>
      </c>
      <c r="C626">
        <f t="shared" ca="1" si="93"/>
        <v>0</v>
      </c>
      <c r="D626">
        <f t="shared" ca="1" si="94"/>
        <v>1</v>
      </c>
    </row>
    <row r="627" spans="1:4" x14ac:dyDescent="0.3">
      <c r="A627">
        <v>0</v>
      </c>
      <c r="B627">
        <f t="shared" ca="1" si="92"/>
        <v>0</v>
      </c>
      <c r="C627">
        <f t="shared" ca="1" si="93"/>
        <v>0</v>
      </c>
      <c r="D627">
        <f t="shared" ca="1" si="94"/>
        <v>1</v>
      </c>
    </row>
    <row r="628" spans="1:4" x14ac:dyDescent="0.3">
      <c r="A628">
        <v>0</v>
      </c>
      <c r="B628">
        <f t="shared" ca="1" si="92"/>
        <v>0</v>
      </c>
      <c r="C628">
        <f t="shared" ca="1" si="93"/>
        <v>0</v>
      </c>
      <c r="D628">
        <f t="shared" ca="1" si="94"/>
        <v>1</v>
      </c>
    </row>
    <row r="629" spans="1:4" x14ac:dyDescent="0.3">
      <c r="A629">
        <v>0</v>
      </c>
      <c r="B629">
        <f t="shared" ca="1" si="92"/>
        <v>0</v>
      </c>
      <c r="C629">
        <f t="shared" ca="1" si="93"/>
        <v>1</v>
      </c>
      <c r="D629">
        <f t="shared" ca="1" si="94"/>
        <v>0</v>
      </c>
    </row>
    <row r="630" spans="1:4" x14ac:dyDescent="0.3">
      <c r="A630">
        <v>0</v>
      </c>
      <c r="B630">
        <f t="shared" ca="1" si="92"/>
        <v>0</v>
      </c>
      <c r="C630">
        <f t="shared" ca="1" si="93"/>
        <v>1</v>
      </c>
      <c r="D630">
        <f t="shared" ca="1" si="94"/>
        <v>0</v>
      </c>
    </row>
    <row r="631" spans="1:4" x14ac:dyDescent="0.3">
      <c r="A631">
        <v>0</v>
      </c>
      <c r="B631">
        <f t="shared" ca="1" si="92"/>
        <v>1</v>
      </c>
      <c r="C631">
        <f t="shared" ca="1" si="93"/>
        <v>0</v>
      </c>
      <c r="D631">
        <f t="shared" ca="1" si="94"/>
        <v>0</v>
      </c>
    </row>
    <row r="632" spans="1:4" x14ac:dyDescent="0.3">
      <c r="A632">
        <v>0</v>
      </c>
      <c r="B632">
        <f t="shared" ca="1" si="92"/>
        <v>0</v>
      </c>
      <c r="C632">
        <f t="shared" ca="1" si="93"/>
        <v>0</v>
      </c>
      <c r="D632">
        <f t="shared" ca="1" si="94"/>
        <v>1</v>
      </c>
    </row>
    <row r="633" spans="1:4" x14ac:dyDescent="0.3">
      <c r="A633">
        <v>0</v>
      </c>
      <c r="B633">
        <f t="shared" ca="1" si="92"/>
        <v>0</v>
      </c>
      <c r="C633">
        <f t="shared" ca="1" si="93"/>
        <v>0</v>
      </c>
      <c r="D633">
        <f t="shared" ca="1" si="94"/>
        <v>1</v>
      </c>
    </row>
    <row r="634" spans="1:4" x14ac:dyDescent="0.3">
      <c r="A634">
        <v>0</v>
      </c>
      <c r="B634">
        <f t="shared" ca="1" si="92"/>
        <v>0</v>
      </c>
      <c r="C634">
        <f t="shared" ca="1" si="93"/>
        <v>0</v>
      </c>
      <c r="D634">
        <f t="shared" ca="1" si="94"/>
        <v>1</v>
      </c>
    </row>
    <row r="635" spans="1:4" x14ac:dyDescent="0.3">
      <c r="A635">
        <v>0</v>
      </c>
      <c r="B635">
        <f t="shared" ref="B635:B698" ca="1" si="95">$AN258</f>
        <v>0</v>
      </c>
      <c r="C635">
        <f t="shared" ref="C635:C698" ca="1" si="96">$AO258</f>
        <v>1</v>
      </c>
      <c r="D635">
        <f t="shared" ref="D635:D698" ca="1" si="97">$AQ258</f>
        <v>0</v>
      </c>
    </row>
    <row r="636" spans="1:4" x14ac:dyDescent="0.3">
      <c r="A636">
        <v>0</v>
      </c>
      <c r="B636">
        <f t="shared" ca="1" si="95"/>
        <v>0</v>
      </c>
      <c r="C636">
        <f t="shared" ca="1" si="96"/>
        <v>1</v>
      </c>
      <c r="D636">
        <f t="shared" ca="1" si="97"/>
        <v>0</v>
      </c>
    </row>
    <row r="637" spans="1:4" x14ac:dyDescent="0.3">
      <c r="A637">
        <v>0</v>
      </c>
      <c r="B637">
        <f t="shared" ca="1" si="95"/>
        <v>0</v>
      </c>
      <c r="C637">
        <f t="shared" ca="1" si="96"/>
        <v>0</v>
      </c>
      <c r="D637">
        <f t="shared" ca="1" si="97"/>
        <v>1</v>
      </c>
    </row>
    <row r="638" spans="1:4" x14ac:dyDescent="0.3">
      <c r="A638">
        <v>0</v>
      </c>
      <c r="B638">
        <f t="shared" ca="1" si="95"/>
        <v>0</v>
      </c>
      <c r="C638">
        <f t="shared" ca="1" si="96"/>
        <v>0</v>
      </c>
      <c r="D638">
        <f t="shared" ca="1" si="97"/>
        <v>1</v>
      </c>
    </row>
    <row r="639" spans="1:4" x14ac:dyDescent="0.3">
      <c r="A639">
        <v>0</v>
      </c>
      <c r="B639">
        <f t="shared" ca="1" si="95"/>
        <v>0</v>
      </c>
      <c r="C639">
        <f t="shared" ca="1" si="96"/>
        <v>0</v>
      </c>
      <c r="D639">
        <f t="shared" ca="1" si="97"/>
        <v>1</v>
      </c>
    </row>
    <row r="640" spans="1:4" x14ac:dyDescent="0.3">
      <c r="A640">
        <v>0</v>
      </c>
      <c r="B640">
        <f t="shared" ca="1" si="95"/>
        <v>0</v>
      </c>
      <c r="C640">
        <f t="shared" ca="1" si="96"/>
        <v>1</v>
      </c>
      <c r="D640">
        <f t="shared" ca="1" si="97"/>
        <v>0</v>
      </c>
    </row>
    <row r="641" spans="1:4" x14ac:dyDescent="0.3">
      <c r="A641">
        <v>0</v>
      </c>
      <c r="B641">
        <f t="shared" ca="1" si="95"/>
        <v>0</v>
      </c>
      <c r="C641">
        <f t="shared" ca="1" si="96"/>
        <v>0</v>
      </c>
      <c r="D641">
        <f t="shared" ca="1" si="97"/>
        <v>1</v>
      </c>
    </row>
    <row r="642" spans="1:4" x14ac:dyDescent="0.3">
      <c r="A642">
        <v>0</v>
      </c>
      <c r="B642">
        <f t="shared" ca="1" si="95"/>
        <v>0</v>
      </c>
      <c r="C642">
        <f t="shared" ca="1" si="96"/>
        <v>0</v>
      </c>
      <c r="D642">
        <f t="shared" ca="1" si="97"/>
        <v>1</v>
      </c>
    </row>
    <row r="643" spans="1:4" x14ac:dyDescent="0.3">
      <c r="A643">
        <v>0</v>
      </c>
      <c r="B643">
        <f t="shared" ca="1" si="95"/>
        <v>0</v>
      </c>
      <c r="C643">
        <f t="shared" ca="1" si="96"/>
        <v>0</v>
      </c>
      <c r="D643">
        <f t="shared" ca="1" si="97"/>
        <v>1</v>
      </c>
    </row>
    <row r="644" spans="1:4" x14ac:dyDescent="0.3">
      <c r="A644">
        <v>0</v>
      </c>
      <c r="B644">
        <f t="shared" ca="1" si="95"/>
        <v>0</v>
      </c>
      <c r="C644">
        <f t="shared" ca="1" si="96"/>
        <v>0</v>
      </c>
      <c r="D644">
        <f t="shared" ca="1" si="97"/>
        <v>1</v>
      </c>
    </row>
    <row r="645" spans="1:4" x14ac:dyDescent="0.3">
      <c r="A645">
        <v>0</v>
      </c>
      <c r="B645">
        <f t="shared" ca="1" si="95"/>
        <v>0</v>
      </c>
      <c r="C645">
        <f t="shared" ca="1" si="96"/>
        <v>0</v>
      </c>
      <c r="D645">
        <f t="shared" ca="1" si="97"/>
        <v>1</v>
      </c>
    </row>
    <row r="646" spans="1:4" x14ac:dyDescent="0.3">
      <c r="A646">
        <v>0</v>
      </c>
      <c r="B646">
        <f t="shared" ca="1" si="95"/>
        <v>0</v>
      </c>
      <c r="C646">
        <f t="shared" ca="1" si="96"/>
        <v>0</v>
      </c>
      <c r="D646">
        <f t="shared" ca="1" si="97"/>
        <v>1</v>
      </c>
    </row>
    <row r="647" spans="1:4" x14ac:dyDescent="0.3">
      <c r="A647">
        <v>0</v>
      </c>
      <c r="B647">
        <f t="shared" ca="1" si="95"/>
        <v>0</v>
      </c>
      <c r="C647">
        <f t="shared" ca="1" si="96"/>
        <v>0</v>
      </c>
      <c r="D647">
        <f t="shared" ca="1" si="97"/>
        <v>1</v>
      </c>
    </row>
    <row r="648" spans="1:4" x14ac:dyDescent="0.3">
      <c r="A648">
        <v>0</v>
      </c>
      <c r="B648">
        <f t="shared" ca="1" si="95"/>
        <v>1</v>
      </c>
      <c r="C648">
        <f t="shared" ca="1" si="96"/>
        <v>0</v>
      </c>
      <c r="D648">
        <f t="shared" ca="1" si="97"/>
        <v>0</v>
      </c>
    </row>
    <row r="649" spans="1:4" x14ac:dyDescent="0.3">
      <c r="A649">
        <v>0</v>
      </c>
      <c r="B649">
        <f t="shared" ca="1" si="95"/>
        <v>0</v>
      </c>
      <c r="C649">
        <f t="shared" ca="1" si="96"/>
        <v>0</v>
      </c>
      <c r="D649">
        <f t="shared" ca="1" si="97"/>
        <v>1</v>
      </c>
    </row>
    <row r="650" spans="1:4" x14ac:dyDescent="0.3">
      <c r="A650">
        <v>0</v>
      </c>
      <c r="B650">
        <f t="shared" ca="1" si="95"/>
        <v>0</v>
      </c>
      <c r="C650">
        <f t="shared" ca="1" si="96"/>
        <v>0</v>
      </c>
      <c r="D650">
        <f t="shared" ca="1" si="97"/>
        <v>1</v>
      </c>
    </row>
    <row r="651" spans="1:4" x14ac:dyDescent="0.3">
      <c r="A651">
        <v>0</v>
      </c>
      <c r="B651">
        <f t="shared" ca="1" si="95"/>
        <v>0</v>
      </c>
      <c r="C651">
        <f t="shared" ca="1" si="96"/>
        <v>0</v>
      </c>
      <c r="D651">
        <f t="shared" ca="1" si="97"/>
        <v>1</v>
      </c>
    </row>
    <row r="652" spans="1:4" x14ac:dyDescent="0.3">
      <c r="A652">
        <v>0</v>
      </c>
      <c r="B652">
        <f t="shared" ca="1" si="95"/>
        <v>0</v>
      </c>
      <c r="C652">
        <f t="shared" ca="1" si="96"/>
        <v>1</v>
      </c>
      <c r="D652">
        <f t="shared" ca="1" si="97"/>
        <v>0</v>
      </c>
    </row>
    <row r="653" spans="1:4" x14ac:dyDescent="0.3">
      <c r="A653">
        <v>0</v>
      </c>
      <c r="B653">
        <f t="shared" ca="1" si="95"/>
        <v>0</v>
      </c>
      <c r="C653">
        <f t="shared" ca="1" si="96"/>
        <v>0</v>
      </c>
      <c r="D653">
        <f t="shared" ca="1" si="97"/>
        <v>1</v>
      </c>
    </row>
    <row r="654" spans="1:4" x14ac:dyDescent="0.3">
      <c r="A654">
        <v>0</v>
      </c>
      <c r="B654">
        <f t="shared" ca="1" si="95"/>
        <v>0</v>
      </c>
      <c r="C654">
        <f t="shared" ca="1" si="96"/>
        <v>0</v>
      </c>
      <c r="D654">
        <f t="shared" ca="1" si="97"/>
        <v>1</v>
      </c>
    </row>
    <row r="655" spans="1:4" x14ac:dyDescent="0.3">
      <c r="A655">
        <v>0</v>
      </c>
      <c r="B655">
        <f t="shared" ca="1" si="95"/>
        <v>1</v>
      </c>
      <c r="C655">
        <f t="shared" ca="1" si="96"/>
        <v>0</v>
      </c>
      <c r="D655">
        <f t="shared" ca="1" si="97"/>
        <v>0</v>
      </c>
    </row>
    <row r="656" spans="1:4" x14ac:dyDescent="0.3">
      <c r="A656">
        <v>0</v>
      </c>
      <c r="B656">
        <f t="shared" ca="1" si="95"/>
        <v>0</v>
      </c>
      <c r="C656">
        <f t="shared" ca="1" si="96"/>
        <v>0</v>
      </c>
      <c r="D656">
        <f t="shared" ca="1" si="97"/>
        <v>1</v>
      </c>
    </row>
    <row r="657" spans="1:4" x14ac:dyDescent="0.3">
      <c r="A657">
        <v>0</v>
      </c>
      <c r="B657">
        <f t="shared" ca="1" si="95"/>
        <v>0</v>
      </c>
      <c r="C657">
        <f t="shared" ca="1" si="96"/>
        <v>0</v>
      </c>
      <c r="D657">
        <f t="shared" ca="1" si="97"/>
        <v>1</v>
      </c>
    </row>
    <row r="658" spans="1:4" x14ac:dyDescent="0.3">
      <c r="A658">
        <v>0</v>
      </c>
      <c r="B658">
        <f t="shared" ca="1" si="95"/>
        <v>1</v>
      </c>
      <c r="C658">
        <f t="shared" ca="1" si="96"/>
        <v>0</v>
      </c>
      <c r="D658">
        <f t="shared" ca="1" si="97"/>
        <v>0</v>
      </c>
    </row>
    <row r="659" spans="1:4" x14ac:dyDescent="0.3">
      <c r="A659">
        <v>0</v>
      </c>
      <c r="B659">
        <f t="shared" ca="1" si="95"/>
        <v>0</v>
      </c>
      <c r="C659">
        <f t="shared" ca="1" si="96"/>
        <v>0</v>
      </c>
      <c r="D659">
        <f t="shared" ca="1" si="97"/>
        <v>1</v>
      </c>
    </row>
    <row r="660" spans="1:4" x14ac:dyDescent="0.3">
      <c r="A660">
        <v>0</v>
      </c>
      <c r="B660">
        <f t="shared" ca="1" si="95"/>
        <v>0</v>
      </c>
      <c r="C660">
        <f t="shared" ca="1" si="96"/>
        <v>1</v>
      </c>
      <c r="D660">
        <f t="shared" ca="1" si="97"/>
        <v>0</v>
      </c>
    </row>
    <row r="661" spans="1:4" x14ac:dyDescent="0.3">
      <c r="A661">
        <v>0</v>
      </c>
      <c r="B661">
        <f t="shared" ca="1" si="95"/>
        <v>0</v>
      </c>
      <c r="C661">
        <f t="shared" ca="1" si="96"/>
        <v>0</v>
      </c>
      <c r="D661">
        <f t="shared" ca="1" si="97"/>
        <v>1</v>
      </c>
    </row>
    <row r="662" spans="1:4" x14ac:dyDescent="0.3">
      <c r="A662">
        <v>0</v>
      </c>
      <c r="B662">
        <f t="shared" ca="1" si="95"/>
        <v>0</v>
      </c>
      <c r="C662">
        <f t="shared" ca="1" si="96"/>
        <v>0</v>
      </c>
      <c r="D662">
        <f t="shared" ca="1" si="97"/>
        <v>1</v>
      </c>
    </row>
    <row r="663" spans="1:4" x14ac:dyDescent="0.3">
      <c r="A663">
        <v>0</v>
      </c>
      <c r="B663">
        <f t="shared" ca="1" si="95"/>
        <v>0</v>
      </c>
      <c r="C663">
        <f t="shared" ca="1" si="96"/>
        <v>0</v>
      </c>
      <c r="D663">
        <f t="shared" ca="1" si="97"/>
        <v>1</v>
      </c>
    </row>
    <row r="664" spans="1:4" x14ac:dyDescent="0.3">
      <c r="A664">
        <v>0</v>
      </c>
      <c r="B664">
        <f t="shared" ca="1" si="95"/>
        <v>0</v>
      </c>
      <c r="C664">
        <f t="shared" ca="1" si="96"/>
        <v>0</v>
      </c>
      <c r="D664">
        <f t="shared" ca="1" si="97"/>
        <v>1</v>
      </c>
    </row>
    <row r="665" spans="1:4" x14ac:dyDescent="0.3">
      <c r="A665">
        <v>0</v>
      </c>
      <c r="B665">
        <f t="shared" ca="1" si="95"/>
        <v>0</v>
      </c>
      <c r="C665">
        <f t="shared" ca="1" si="96"/>
        <v>0</v>
      </c>
      <c r="D665">
        <f t="shared" ca="1" si="97"/>
        <v>1</v>
      </c>
    </row>
    <row r="666" spans="1:4" x14ac:dyDescent="0.3">
      <c r="A666">
        <v>0</v>
      </c>
      <c r="B666">
        <f t="shared" ca="1" si="95"/>
        <v>0</v>
      </c>
      <c r="C666">
        <f t="shared" ca="1" si="96"/>
        <v>0</v>
      </c>
      <c r="D666">
        <f t="shared" ca="1" si="97"/>
        <v>1</v>
      </c>
    </row>
    <row r="667" spans="1:4" x14ac:dyDescent="0.3">
      <c r="A667">
        <v>0</v>
      </c>
      <c r="B667">
        <f t="shared" ca="1" si="95"/>
        <v>0</v>
      </c>
      <c r="C667">
        <f t="shared" ca="1" si="96"/>
        <v>0</v>
      </c>
      <c r="D667">
        <f t="shared" ca="1" si="97"/>
        <v>1</v>
      </c>
    </row>
    <row r="668" spans="1:4" x14ac:dyDescent="0.3">
      <c r="A668">
        <v>0</v>
      </c>
      <c r="B668">
        <f t="shared" ca="1" si="95"/>
        <v>0</v>
      </c>
      <c r="C668">
        <f t="shared" ca="1" si="96"/>
        <v>0</v>
      </c>
      <c r="D668">
        <f t="shared" ca="1" si="97"/>
        <v>1</v>
      </c>
    </row>
    <row r="669" spans="1:4" x14ac:dyDescent="0.3">
      <c r="A669">
        <v>0</v>
      </c>
      <c r="B669">
        <f t="shared" ca="1" si="95"/>
        <v>0</v>
      </c>
      <c r="C669">
        <f t="shared" ca="1" si="96"/>
        <v>0</v>
      </c>
      <c r="D669">
        <f t="shared" ca="1" si="97"/>
        <v>1</v>
      </c>
    </row>
    <row r="670" spans="1:4" x14ac:dyDescent="0.3">
      <c r="A670">
        <v>0</v>
      </c>
      <c r="B670">
        <f t="shared" ca="1" si="95"/>
        <v>0</v>
      </c>
      <c r="C670">
        <f t="shared" ca="1" si="96"/>
        <v>0</v>
      </c>
      <c r="D670">
        <f t="shared" ca="1" si="97"/>
        <v>1</v>
      </c>
    </row>
    <row r="671" spans="1:4" x14ac:dyDescent="0.3">
      <c r="A671">
        <v>0</v>
      </c>
      <c r="B671">
        <f t="shared" ca="1" si="95"/>
        <v>0</v>
      </c>
      <c r="C671">
        <f t="shared" ca="1" si="96"/>
        <v>0</v>
      </c>
      <c r="D671">
        <f t="shared" ca="1" si="97"/>
        <v>1</v>
      </c>
    </row>
    <row r="672" spans="1:4" x14ac:dyDescent="0.3">
      <c r="A672">
        <v>0</v>
      </c>
      <c r="B672">
        <f t="shared" ca="1" si="95"/>
        <v>0</v>
      </c>
      <c r="C672">
        <f t="shared" ca="1" si="96"/>
        <v>1</v>
      </c>
      <c r="D672">
        <f t="shared" ca="1" si="97"/>
        <v>0</v>
      </c>
    </row>
    <row r="673" spans="1:4" x14ac:dyDescent="0.3">
      <c r="A673">
        <v>0</v>
      </c>
      <c r="B673">
        <f t="shared" ca="1" si="95"/>
        <v>1</v>
      </c>
      <c r="C673">
        <f t="shared" ca="1" si="96"/>
        <v>0</v>
      </c>
      <c r="D673">
        <f t="shared" ca="1" si="97"/>
        <v>0</v>
      </c>
    </row>
    <row r="674" spans="1:4" x14ac:dyDescent="0.3">
      <c r="A674">
        <v>0</v>
      </c>
      <c r="B674">
        <f t="shared" ca="1" si="95"/>
        <v>0</v>
      </c>
      <c r="C674">
        <f t="shared" ca="1" si="96"/>
        <v>0</v>
      </c>
      <c r="D674">
        <f t="shared" ca="1" si="97"/>
        <v>1</v>
      </c>
    </row>
    <row r="675" spans="1:4" x14ac:dyDescent="0.3">
      <c r="A675">
        <v>0</v>
      </c>
      <c r="B675">
        <f t="shared" ca="1" si="95"/>
        <v>1</v>
      </c>
      <c r="C675">
        <f t="shared" ca="1" si="96"/>
        <v>0</v>
      </c>
      <c r="D675">
        <f t="shared" ca="1" si="97"/>
        <v>0</v>
      </c>
    </row>
    <row r="676" spans="1:4" x14ac:dyDescent="0.3">
      <c r="A676">
        <v>0</v>
      </c>
      <c r="B676">
        <f t="shared" ca="1" si="95"/>
        <v>0</v>
      </c>
      <c r="C676">
        <f t="shared" ca="1" si="96"/>
        <v>0</v>
      </c>
      <c r="D676">
        <f t="shared" ca="1" si="97"/>
        <v>1</v>
      </c>
    </row>
    <row r="677" spans="1:4" x14ac:dyDescent="0.3">
      <c r="A677">
        <v>0</v>
      </c>
      <c r="B677">
        <f t="shared" ca="1" si="95"/>
        <v>0</v>
      </c>
      <c r="C677">
        <f t="shared" ca="1" si="96"/>
        <v>0</v>
      </c>
      <c r="D677">
        <f t="shared" ca="1" si="97"/>
        <v>1</v>
      </c>
    </row>
    <row r="678" spans="1:4" x14ac:dyDescent="0.3">
      <c r="A678">
        <v>0</v>
      </c>
      <c r="B678">
        <f t="shared" ca="1" si="95"/>
        <v>0</v>
      </c>
      <c r="C678">
        <f t="shared" ca="1" si="96"/>
        <v>0</v>
      </c>
      <c r="D678">
        <f t="shared" ca="1" si="97"/>
        <v>1</v>
      </c>
    </row>
    <row r="679" spans="1:4" x14ac:dyDescent="0.3">
      <c r="A679">
        <v>0</v>
      </c>
      <c r="B679">
        <f t="shared" ca="1" si="95"/>
        <v>0</v>
      </c>
      <c r="C679">
        <f t="shared" ca="1" si="96"/>
        <v>0</v>
      </c>
      <c r="D679">
        <f t="shared" ca="1" si="97"/>
        <v>1</v>
      </c>
    </row>
    <row r="680" spans="1:4" x14ac:dyDescent="0.3">
      <c r="A680">
        <v>0</v>
      </c>
      <c r="B680">
        <f t="shared" ca="1" si="95"/>
        <v>0</v>
      </c>
      <c r="C680">
        <f t="shared" ca="1" si="96"/>
        <v>0</v>
      </c>
      <c r="D680">
        <f t="shared" ca="1" si="97"/>
        <v>1</v>
      </c>
    </row>
    <row r="681" spans="1:4" x14ac:dyDescent="0.3">
      <c r="A681">
        <v>0</v>
      </c>
      <c r="B681">
        <f t="shared" ca="1" si="95"/>
        <v>0</v>
      </c>
      <c r="C681">
        <f t="shared" ca="1" si="96"/>
        <v>0</v>
      </c>
      <c r="D681">
        <f t="shared" ca="1" si="97"/>
        <v>1</v>
      </c>
    </row>
    <row r="682" spans="1:4" x14ac:dyDescent="0.3">
      <c r="A682">
        <v>0</v>
      </c>
      <c r="B682">
        <f t="shared" ca="1" si="95"/>
        <v>0</v>
      </c>
      <c r="C682">
        <f t="shared" ca="1" si="96"/>
        <v>0</v>
      </c>
      <c r="D682">
        <f t="shared" ca="1" si="97"/>
        <v>1</v>
      </c>
    </row>
    <row r="683" spans="1:4" x14ac:dyDescent="0.3">
      <c r="A683">
        <v>0</v>
      </c>
      <c r="B683">
        <f t="shared" ca="1" si="95"/>
        <v>0</v>
      </c>
      <c r="C683">
        <f t="shared" ca="1" si="96"/>
        <v>0</v>
      </c>
      <c r="D683">
        <f t="shared" ca="1" si="97"/>
        <v>1</v>
      </c>
    </row>
    <row r="684" spans="1:4" x14ac:dyDescent="0.3">
      <c r="A684">
        <v>0</v>
      </c>
      <c r="B684">
        <f t="shared" ca="1" si="95"/>
        <v>0</v>
      </c>
      <c r="C684">
        <f t="shared" ca="1" si="96"/>
        <v>1</v>
      </c>
      <c r="D684">
        <f t="shared" ca="1" si="97"/>
        <v>0</v>
      </c>
    </row>
    <row r="685" spans="1:4" x14ac:dyDescent="0.3">
      <c r="A685">
        <v>0</v>
      </c>
      <c r="B685">
        <f t="shared" ca="1" si="95"/>
        <v>0</v>
      </c>
      <c r="C685">
        <f t="shared" ca="1" si="96"/>
        <v>0</v>
      </c>
      <c r="D685">
        <f t="shared" ca="1" si="97"/>
        <v>1</v>
      </c>
    </row>
    <row r="686" spans="1:4" x14ac:dyDescent="0.3">
      <c r="A686">
        <v>0</v>
      </c>
      <c r="B686">
        <f t="shared" ca="1" si="95"/>
        <v>0</v>
      </c>
      <c r="C686">
        <f t="shared" ca="1" si="96"/>
        <v>0</v>
      </c>
      <c r="D686">
        <f t="shared" ca="1" si="97"/>
        <v>1</v>
      </c>
    </row>
    <row r="687" spans="1:4" x14ac:dyDescent="0.3">
      <c r="A687">
        <v>0</v>
      </c>
      <c r="B687">
        <f t="shared" ca="1" si="95"/>
        <v>0</v>
      </c>
      <c r="C687">
        <f t="shared" ca="1" si="96"/>
        <v>0</v>
      </c>
      <c r="D687">
        <f t="shared" ca="1" si="97"/>
        <v>1</v>
      </c>
    </row>
    <row r="688" spans="1:4" x14ac:dyDescent="0.3">
      <c r="A688">
        <v>0</v>
      </c>
      <c r="B688">
        <f t="shared" ca="1" si="95"/>
        <v>0</v>
      </c>
      <c r="C688">
        <f t="shared" ca="1" si="96"/>
        <v>0</v>
      </c>
      <c r="D688">
        <f t="shared" ca="1" si="97"/>
        <v>1</v>
      </c>
    </row>
    <row r="689" spans="1:4" x14ac:dyDescent="0.3">
      <c r="A689">
        <v>0</v>
      </c>
      <c r="B689">
        <f t="shared" ca="1" si="95"/>
        <v>0</v>
      </c>
      <c r="C689">
        <f t="shared" ca="1" si="96"/>
        <v>0</v>
      </c>
      <c r="D689">
        <f t="shared" ca="1" si="97"/>
        <v>1</v>
      </c>
    </row>
    <row r="690" spans="1:4" x14ac:dyDescent="0.3">
      <c r="A690">
        <v>0</v>
      </c>
      <c r="B690">
        <f t="shared" ca="1" si="95"/>
        <v>0</v>
      </c>
      <c r="C690">
        <f t="shared" ca="1" si="96"/>
        <v>0</v>
      </c>
      <c r="D690">
        <f t="shared" ca="1" si="97"/>
        <v>1</v>
      </c>
    </row>
    <row r="691" spans="1:4" x14ac:dyDescent="0.3">
      <c r="A691">
        <v>0</v>
      </c>
      <c r="B691">
        <f t="shared" ca="1" si="95"/>
        <v>0</v>
      </c>
      <c r="C691">
        <f t="shared" ca="1" si="96"/>
        <v>0</v>
      </c>
      <c r="D691">
        <f t="shared" ca="1" si="97"/>
        <v>1</v>
      </c>
    </row>
    <row r="692" spans="1:4" x14ac:dyDescent="0.3">
      <c r="A692">
        <v>0</v>
      </c>
      <c r="B692">
        <f t="shared" ca="1" si="95"/>
        <v>0</v>
      </c>
      <c r="C692">
        <f t="shared" ca="1" si="96"/>
        <v>0</v>
      </c>
      <c r="D692">
        <f t="shared" ca="1" si="97"/>
        <v>1</v>
      </c>
    </row>
    <row r="693" spans="1:4" x14ac:dyDescent="0.3">
      <c r="A693">
        <v>0</v>
      </c>
      <c r="B693">
        <f t="shared" ca="1" si="95"/>
        <v>0</v>
      </c>
      <c r="C693">
        <f t="shared" ca="1" si="96"/>
        <v>0</v>
      </c>
      <c r="D693">
        <f t="shared" ca="1" si="97"/>
        <v>1</v>
      </c>
    </row>
    <row r="694" spans="1:4" x14ac:dyDescent="0.3">
      <c r="A694">
        <v>0</v>
      </c>
      <c r="B694">
        <f t="shared" ca="1" si="95"/>
        <v>0</v>
      </c>
      <c r="C694">
        <f t="shared" ca="1" si="96"/>
        <v>1</v>
      </c>
      <c r="D694">
        <f t="shared" ca="1" si="97"/>
        <v>0</v>
      </c>
    </row>
    <row r="695" spans="1:4" x14ac:dyDescent="0.3">
      <c r="A695">
        <v>0</v>
      </c>
      <c r="B695">
        <f t="shared" ca="1" si="95"/>
        <v>1</v>
      </c>
      <c r="C695">
        <f t="shared" ca="1" si="96"/>
        <v>0</v>
      </c>
      <c r="D695">
        <f t="shared" ca="1" si="97"/>
        <v>0</v>
      </c>
    </row>
    <row r="696" spans="1:4" x14ac:dyDescent="0.3">
      <c r="A696">
        <v>0</v>
      </c>
      <c r="B696">
        <f t="shared" ca="1" si="95"/>
        <v>0</v>
      </c>
      <c r="C696">
        <f t="shared" ca="1" si="96"/>
        <v>0</v>
      </c>
      <c r="D696">
        <f t="shared" ca="1" si="97"/>
        <v>1</v>
      </c>
    </row>
    <row r="697" spans="1:4" x14ac:dyDescent="0.3">
      <c r="A697">
        <v>0</v>
      </c>
      <c r="B697">
        <f t="shared" ca="1" si="95"/>
        <v>0</v>
      </c>
      <c r="C697">
        <f t="shared" ca="1" si="96"/>
        <v>0</v>
      </c>
      <c r="D697">
        <f t="shared" ca="1" si="97"/>
        <v>1</v>
      </c>
    </row>
    <row r="698" spans="1:4" x14ac:dyDescent="0.3">
      <c r="A698">
        <v>0</v>
      </c>
      <c r="B698">
        <f t="shared" ca="1" si="95"/>
        <v>0</v>
      </c>
      <c r="C698">
        <f t="shared" ca="1" si="96"/>
        <v>0</v>
      </c>
      <c r="D698">
        <f t="shared" ca="1" si="97"/>
        <v>1</v>
      </c>
    </row>
    <row r="699" spans="1:4" x14ac:dyDescent="0.3">
      <c r="A699">
        <v>0</v>
      </c>
      <c r="B699">
        <f t="shared" ref="B699:B740" ca="1" si="98">$AN322</f>
        <v>1</v>
      </c>
      <c r="C699">
        <f t="shared" ref="C699:C740" ca="1" si="99">$AO322</f>
        <v>0</v>
      </c>
      <c r="D699">
        <f t="shared" ref="D699:D740" ca="1" si="100">$AQ322</f>
        <v>0</v>
      </c>
    </row>
    <row r="700" spans="1:4" x14ac:dyDescent="0.3">
      <c r="A700">
        <v>0</v>
      </c>
      <c r="B700">
        <f t="shared" ca="1" si="98"/>
        <v>0</v>
      </c>
      <c r="C700">
        <f t="shared" ca="1" si="99"/>
        <v>1</v>
      </c>
      <c r="D700">
        <f t="shared" ca="1" si="100"/>
        <v>0</v>
      </c>
    </row>
    <row r="701" spans="1:4" x14ac:dyDescent="0.3">
      <c r="A701">
        <v>0</v>
      </c>
      <c r="B701">
        <f t="shared" ca="1" si="98"/>
        <v>0</v>
      </c>
      <c r="C701">
        <f t="shared" ca="1" si="99"/>
        <v>0</v>
      </c>
      <c r="D701">
        <f t="shared" ca="1" si="100"/>
        <v>1</v>
      </c>
    </row>
    <row r="702" spans="1:4" x14ac:dyDescent="0.3">
      <c r="A702">
        <v>0</v>
      </c>
      <c r="B702">
        <f t="shared" ca="1" si="98"/>
        <v>0</v>
      </c>
      <c r="C702">
        <f t="shared" ca="1" si="99"/>
        <v>0</v>
      </c>
      <c r="D702">
        <f t="shared" ca="1" si="100"/>
        <v>1</v>
      </c>
    </row>
    <row r="703" spans="1:4" x14ac:dyDescent="0.3">
      <c r="A703">
        <v>0</v>
      </c>
      <c r="B703">
        <f t="shared" ca="1" si="98"/>
        <v>0</v>
      </c>
      <c r="C703">
        <f t="shared" ca="1" si="99"/>
        <v>0</v>
      </c>
      <c r="D703">
        <f t="shared" ca="1" si="100"/>
        <v>1</v>
      </c>
    </row>
    <row r="704" spans="1:4" x14ac:dyDescent="0.3">
      <c r="A704">
        <v>0</v>
      </c>
      <c r="B704">
        <f t="shared" ca="1" si="98"/>
        <v>0</v>
      </c>
      <c r="C704">
        <f t="shared" ca="1" si="99"/>
        <v>1</v>
      </c>
      <c r="D704">
        <f t="shared" ca="1" si="100"/>
        <v>0</v>
      </c>
    </row>
    <row r="705" spans="1:4" x14ac:dyDescent="0.3">
      <c r="A705">
        <v>0</v>
      </c>
      <c r="B705">
        <f t="shared" ca="1" si="98"/>
        <v>0</v>
      </c>
      <c r="C705">
        <f t="shared" ca="1" si="99"/>
        <v>0</v>
      </c>
      <c r="D705">
        <f t="shared" ca="1" si="100"/>
        <v>1</v>
      </c>
    </row>
    <row r="706" spans="1:4" x14ac:dyDescent="0.3">
      <c r="A706">
        <v>0</v>
      </c>
      <c r="B706">
        <f t="shared" ca="1" si="98"/>
        <v>0</v>
      </c>
      <c r="C706">
        <f t="shared" ca="1" si="99"/>
        <v>0</v>
      </c>
      <c r="D706">
        <f t="shared" ca="1" si="100"/>
        <v>1</v>
      </c>
    </row>
    <row r="707" spans="1:4" x14ac:dyDescent="0.3">
      <c r="A707">
        <v>0</v>
      </c>
      <c r="B707">
        <f t="shared" ca="1" si="98"/>
        <v>0</v>
      </c>
      <c r="C707">
        <f t="shared" ca="1" si="99"/>
        <v>0</v>
      </c>
      <c r="D707">
        <f t="shared" ca="1" si="100"/>
        <v>1</v>
      </c>
    </row>
    <row r="708" spans="1:4" x14ac:dyDescent="0.3">
      <c r="A708">
        <v>0</v>
      </c>
      <c r="B708">
        <f t="shared" ca="1" si="98"/>
        <v>0</v>
      </c>
      <c r="C708">
        <f t="shared" ca="1" si="99"/>
        <v>0</v>
      </c>
      <c r="D708">
        <f t="shared" ca="1" si="100"/>
        <v>1</v>
      </c>
    </row>
    <row r="709" spans="1:4" x14ac:dyDescent="0.3">
      <c r="A709">
        <v>0</v>
      </c>
      <c r="B709">
        <f t="shared" ca="1" si="98"/>
        <v>0</v>
      </c>
      <c r="C709">
        <f t="shared" ca="1" si="99"/>
        <v>0</v>
      </c>
      <c r="D709">
        <f t="shared" ca="1" si="100"/>
        <v>1</v>
      </c>
    </row>
    <row r="710" spans="1:4" x14ac:dyDescent="0.3">
      <c r="A710">
        <v>0</v>
      </c>
      <c r="B710">
        <f t="shared" ca="1" si="98"/>
        <v>0</v>
      </c>
      <c r="C710">
        <f t="shared" ca="1" si="99"/>
        <v>0</v>
      </c>
      <c r="D710">
        <f t="shared" ca="1" si="100"/>
        <v>1</v>
      </c>
    </row>
    <row r="711" spans="1:4" x14ac:dyDescent="0.3">
      <c r="A711">
        <v>0</v>
      </c>
      <c r="B711">
        <f t="shared" ca="1" si="98"/>
        <v>0</v>
      </c>
      <c r="C711">
        <f t="shared" ca="1" si="99"/>
        <v>0</v>
      </c>
      <c r="D711">
        <f t="shared" ca="1" si="100"/>
        <v>1</v>
      </c>
    </row>
    <row r="712" spans="1:4" x14ac:dyDescent="0.3">
      <c r="A712">
        <v>0</v>
      </c>
      <c r="B712">
        <f t="shared" ca="1" si="98"/>
        <v>0</v>
      </c>
      <c r="C712">
        <f t="shared" ca="1" si="99"/>
        <v>0</v>
      </c>
      <c r="D712">
        <f t="shared" ca="1" si="100"/>
        <v>1</v>
      </c>
    </row>
    <row r="713" spans="1:4" x14ac:dyDescent="0.3">
      <c r="A713">
        <v>0</v>
      </c>
      <c r="B713">
        <f t="shared" ca="1" si="98"/>
        <v>0</v>
      </c>
      <c r="C713">
        <f t="shared" ca="1" si="99"/>
        <v>0</v>
      </c>
      <c r="D713">
        <f t="shared" ca="1" si="100"/>
        <v>1</v>
      </c>
    </row>
    <row r="714" spans="1:4" x14ac:dyDescent="0.3">
      <c r="A714">
        <v>0</v>
      </c>
      <c r="B714">
        <f t="shared" ca="1" si="98"/>
        <v>0</v>
      </c>
      <c r="C714">
        <f t="shared" ca="1" si="99"/>
        <v>0</v>
      </c>
      <c r="D714">
        <f t="shared" ca="1" si="100"/>
        <v>1</v>
      </c>
    </row>
    <row r="715" spans="1:4" x14ac:dyDescent="0.3">
      <c r="A715">
        <v>0</v>
      </c>
      <c r="B715">
        <f t="shared" ca="1" si="98"/>
        <v>0</v>
      </c>
      <c r="C715">
        <f t="shared" ca="1" si="99"/>
        <v>0</v>
      </c>
      <c r="D715">
        <f t="shared" ca="1" si="100"/>
        <v>1</v>
      </c>
    </row>
    <row r="716" spans="1:4" x14ac:dyDescent="0.3">
      <c r="A716">
        <v>0</v>
      </c>
      <c r="B716">
        <f t="shared" ca="1" si="98"/>
        <v>0</v>
      </c>
      <c r="C716">
        <f t="shared" ca="1" si="99"/>
        <v>0</v>
      </c>
      <c r="D716">
        <f t="shared" ca="1" si="100"/>
        <v>1</v>
      </c>
    </row>
    <row r="717" spans="1:4" x14ac:dyDescent="0.3">
      <c r="A717">
        <v>0</v>
      </c>
      <c r="B717">
        <f t="shared" ca="1" si="98"/>
        <v>0</v>
      </c>
      <c r="C717">
        <f t="shared" ca="1" si="99"/>
        <v>0</v>
      </c>
      <c r="D717">
        <f t="shared" ca="1" si="100"/>
        <v>1</v>
      </c>
    </row>
    <row r="718" spans="1:4" x14ac:dyDescent="0.3">
      <c r="A718">
        <v>0</v>
      </c>
      <c r="B718">
        <f t="shared" ca="1" si="98"/>
        <v>0</v>
      </c>
      <c r="C718">
        <f t="shared" ca="1" si="99"/>
        <v>0</v>
      </c>
      <c r="D718">
        <f t="shared" ca="1" si="100"/>
        <v>1</v>
      </c>
    </row>
    <row r="719" spans="1:4" x14ac:dyDescent="0.3">
      <c r="A719">
        <v>0</v>
      </c>
      <c r="B719">
        <f t="shared" ca="1" si="98"/>
        <v>0</v>
      </c>
      <c r="C719">
        <f t="shared" ca="1" si="99"/>
        <v>0</v>
      </c>
      <c r="D719">
        <f t="shared" ca="1" si="100"/>
        <v>1</v>
      </c>
    </row>
    <row r="720" spans="1:4" x14ac:dyDescent="0.3">
      <c r="A720">
        <v>0</v>
      </c>
      <c r="B720">
        <f t="shared" ca="1" si="98"/>
        <v>0</v>
      </c>
      <c r="C720">
        <f t="shared" ca="1" si="99"/>
        <v>0</v>
      </c>
      <c r="D720">
        <f t="shared" ca="1" si="100"/>
        <v>1</v>
      </c>
    </row>
    <row r="721" spans="1:4" x14ac:dyDescent="0.3">
      <c r="A721">
        <v>0</v>
      </c>
      <c r="B721">
        <f t="shared" ca="1" si="98"/>
        <v>0</v>
      </c>
      <c r="C721">
        <f t="shared" ca="1" si="99"/>
        <v>0</v>
      </c>
      <c r="D721">
        <f t="shared" ca="1" si="100"/>
        <v>1</v>
      </c>
    </row>
    <row r="722" spans="1:4" x14ac:dyDescent="0.3">
      <c r="A722">
        <v>0</v>
      </c>
      <c r="B722">
        <f t="shared" ca="1" si="98"/>
        <v>0</v>
      </c>
      <c r="C722">
        <f t="shared" ca="1" si="99"/>
        <v>0</v>
      </c>
      <c r="D722">
        <f t="shared" ca="1" si="100"/>
        <v>1</v>
      </c>
    </row>
    <row r="723" spans="1:4" x14ac:dyDescent="0.3">
      <c r="A723">
        <v>0</v>
      </c>
      <c r="B723">
        <f t="shared" ca="1" si="98"/>
        <v>0</v>
      </c>
      <c r="C723">
        <f t="shared" ca="1" si="99"/>
        <v>0</v>
      </c>
      <c r="D723">
        <f t="shared" ca="1" si="100"/>
        <v>1</v>
      </c>
    </row>
    <row r="724" spans="1:4" x14ac:dyDescent="0.3">
      <c r="A724">
        <v>0</v>
      </c>
      <c r="B724">
        <f t="shared" ca="1" si="98"/>
        <v>0</v>
      </c>
      <c r="C724">
        <f t="shared" ca="1" si="99"/>
        <v>0</v>
      </c>
      <c r="D724">
        <f t="shared" ca="1" si="100"/>
        <v>1</v>
      </c>
    </row>
    <row r="725" spans="1:4" x14ac:dyDescent="0.3">
      <c r="A725">
        <v>0</v>
      </c>
      <c r="B725">
        <f t="shared" ca="1" si="98"/>
        <v>0</v>
      </c>
      <c r="C725">
        <f t="shared" ca="1" si="99"/>
        <v>0</v>
      </c>
      <c r="D725">
        <f t="shared" ca="1" si="100"/>
        <v>1</v>
      </c>
    </row>
    <row r="726" spans="1:4" x14ac:dyDescent="0.3">
      <c r="A726">
        <v>0</v>
      </c>
      <c r="B726">
        <f t="shared" ca="1" si="98"/>
        <v>0</v>
      </c>
      <c r="C726">
        <f t="shared" ca="1" si="99"/>
        <v>0</v>
      </c>
      <c r="D726">
        <f t="shared" ca="1" si="100"/>
        <v>1</v>
      </c>
    </row>
    <row r="727" spans="1:4" x14ac:dyDescent="0.3">
      <c r="A727">
        <v>0</v>
      </c>
      <c r="B727">
        <f t="shared" ca="1" si="98"/>
        <v>0</v>
      </c>
      <c r="C727">
        <f t="shared" ca="1" si="99"/>
        <v>0</v>
      </c>
      <c r="D727">
        <f t="shared" ca="1" si="100"/>
        <v>1</v>
      </c>
    </row>
    <row r="728" spans="1:4" x14ac:dyDescent="0.3">
      <c r="A728">
        <v>0</v>
      </c>
      <c r="B728">
        <f t="shared" ca="1" si="98"/>
        <v>0</v>
      </c>
      <c r="C728">
        <f t="shared" ca="1" si="99"/>
        <v>1</v>
      </c>
      <c r="D728">
        <f t="shared" ca="1" si="100"/>
        <v>0</v>
      </c>
    </row>
    <row r="729" spans="1:4" x14ac:dyDescent="0.3">
      <c r="A729">
        <v>0</v>
      </c>
      <c r="B729">
        <f t="shared" ca="1" si="98"/>
        <v>0</v>
      </c>
      <c r="C729">
        <f t="shared" ca="1" si="99"/>
        <v>1</v>
      </c>
      <c r="D729">
        <f t="shared" ca="1" si="100"/>
        <v>0</v>
      </c>
    </row>
    <row r="730" spans="1:4" x14ac:dyDescent="0.3">
      <c r="A730">
        <v>0</v>
      </c>
      <c r="B730">
        <f t="shared" ca="1" si="98"/>
        <v>0</v>
      </c>
      <c r="C730">
        <f t="shared" ca="1" si="99"/>
        <v>0</v>
      </c>
      <c r="D730">
        <f t="shared" ca="1" si="100"/>
        <v>1</v>
      </c>
    </row>
    <row r="731" spans="1:4" x14ac:dyDescent="0.3">
      <c r="A731">
        <v>0</v>
      </c>
      <c r="B731">
        <f t="shared" ca="1" si="98"/>
        <v>0</v>
      </c>
      <c r="C731">
        <f t="shared" ca="1" si="99"/>
        <v>0</v>
      </c>
      <c r="D731">
        <f t="shared" ca="1" si="100"/>
        <v>1</v>
      </c>
    </row>
    <row r="732" spans="1:4" x14ac:dyDescent="0.3">
      <c r="A732">
        <v>0</v>
      </c>
      <c r="B732">
        <f t="shared" ca="1" si="98"/>
        <v>1</v>
      </c>
      <c r="C732">
        <f t="shared" ca="1" si="99"/>
        <v>0</v>
      </c>
      <c r="D732">
        <f t="shared" ca="1" si="100"/>
        <v>0</v>
      </c>
    </row>
    <row r="733" spans="1:4" x14ac:dyDescent="0.3">
      <c r="A733">
        <v>0</v>
      </c>
      <c r="B733">
        <f t="shared" ca="1" si="98"/>
        <v>0</v>
      </c>
      <c r="C733">
        <f t="shared" ca="1" si="99"/>
        <v>0</v>
      </c>
      <c r="D733">
        <f t="shared" ca="1" si="100"/>
        <v>1</v>
      </c>
    </row>
    <row r="734" spans="1:4" x14ac:dyDescent="0.3">
      <c r="A734">
        <v>0</v>
      </c>
      <c r="B734">
        <f t="shared" ca="1" si="98"/>
        <v>0</v>
      </c>
      <c r="C734">
        <f t="shared" ca="1" si="99"/>
        <v>0</v>
      </c>
      <c r="D734">
        <f t="shared" ca="1" si="100"/>
        <v>1</v>
      </c>
    </row>
    <row r="735" spans="1:4" x14ac:dyDescent="0.3">
      <c r="A735">
        <v>0</v>
      </c>
      <c r="B735">
        <f t="shared" ca="1" si="98"/>
        <v>0</v>
      </c>
      <c r="C735">
        <f t="shared" ca="1" si="99"/>
        <v>0</v>
      </c>
      <c r="D735">
        <f t="shared" ca="1" si="100"/>
        <v>1</v>
      </c>
    </row>
    <row r="736" spans="1:4" x14ac:dyDescent="0.3">
      <c r="A736">
        <v>0</v>
      </c>
      <c r="B736">
        <f t="shared" ca="1" si="98"/>
        <v>0</v>
      </c>
      <c r="C736">
        <f t="shared" ca="1" si="99"/>
        <v>0</v>
      </c>
      <c r="D736">
        <f t="shared" ca="1" si="100"/>
        <v>1</v>
      </c>
    </row>
    <row r="737" spans="1:4" x14ac:dyDescent="0.3">
      <c r="A737">
        <v>0</v>
      </c>
      <c r="B737">
        <f t="shared" ca="1" si="98"/>
        <v>1</v>
      </c>
      <c r="C737">
        <f t="shared" ca="1" si="99"/>
        <v>0</v>
      </c>
      <c r="D737">
        <f t="shared" ca="1" si="100"/>
        <v>0</v>
      </c>
    </row>
    <row r="738" spans="1:4" x14ac:dyDescent="0.3">
      <c r="A738">
        <v>0</v>
      </c>
      <c r="B738">
        <f t="shared" ca="1" si="98"/>
        <v>0</v>
      </c>
      <c r="C738">
        <f t="shared" ca="1" si="99"/>
        <v>0</v>
      </c>
      <c r="D738">
        <f t="shared" ca="1" si="100"/>
        <v>1</v>
      </c>
    </row>
    <row r="739" spans="1:4" x14ac:dyDescent="0.3">
      <c r="A739">
        <v>0</v>
      </c>
      <c r="B739">
        <f t="shared" ca="1" si="98"/>
        <v>0</v>
      </c>
      <c r="C739">
        <f t="shared" ca="1" si="99"/>
        <v>0</v>
      </c>
      <c r="D739">
        <f t="shared" ca="1" si="100"/>
        <v>1</v>
      </c>
    </row>
    <row r="740" spans="1:4" x14ac:dyDescent="0.3">
      <c r="A740">
        <v>0</v>
      </c>
      <c r="B740">
        <f t="shared" ca="1" si="98"/>
        <v>0</v>
      </c>
      <c r="C740">
        <f t="shared" ca="1" si="99"/>
        <v>0</v>
      </c>
      <c r="D740">
        <f t="shared" ca="1" si="100"/>
        <v>1</v>
      </c>
    </row>
  </sheetData>
  <mergeCells count="6">
    <mergeCell ref="F366:G366"/>
    <mergeCell ref="F376:G376"/>
    <mergeCell ref="K394:M394"/>
    <mergeCell ref="N478:Q478"/>
    <mergeCell ref="J470:P470"/>
    <mergeCell ref="J473:L473"/>
  </mergeCells>
  <conditionalFormatting sqref="AK2:AK364">
    <cfRule type="containsText" dxfId="2" priority="6" operator="containsText" text="f">
      <formula>NOT(ISERROR(SEARCH("f",AK2)))</formula>
    </cfRule>
    <cfRule type="cellIs" dxfId="1" priority="7" operator="equal">
      <formula>"f"</formula>
    </cfRule>
    <cfRule type="containsText" priority="8" operator="containsText" text="f">
      <formula>NOT(ISERROR(SEARCH("f",AK2)))</formula>
    </cfRule>
    <cfRule type="containsText" dxfId="0" priority="9" operator="containsText" text="f">
      <formula>NOT(ISERROR(SEARCH("f",AK2)))</formula>
    </cfRule>
  </conditionalFormatting>
  <hyperlinks>
    <hyperlink ref="B2" r:id="rId1"/>
    <hyperlink ref="B3" r:id="rId2"/>
    <hyperlink ref="B4" r:id="rId3"/>
    <hyperlink ref="B5" r:id="rId4"/>
    <hyperlink ref="B6" r:id="rId5"/>
    <hyperlink ref="B7" r:id="rId6"/>
    <hyperlink ref="B8" r:id="rId7"/>
    <hyperlink ref="B9" r:id="rId8"/>
    <hyperlink ref="B10" r:id="rId9"/>
    <hyperlink ref="B11" r:id="rId10"/>
    <hyperlink ref="B12" r:id="rId11"/>
    <hyperlink ref="B13" r:id="rId12"/>
    <hyperlink ref="B14" r:id="rId13"/>
    <hyperlink ref="B15" r:id="rId14"/>
    <hyperlink ref="B16" r:id="rId15"/>
    <hyperlink ref="B17" r:id="rId16"/>
    <hyperlink ref="B18" r:id="rId17"/>
    <hyperlink ref="B19" r:id="rId18"/>
    <hyperlink ref="B20" r:id="rId19"/>
    <hyperlink ref="B21" r:id="rId20"/>
    <hyperlink ref="B22" r:id="rId21"/>
    <hyperlink ref="B23" r:id="rId22"/>
    <hyperlink ref="B24" r:id="rId23"/>
    <hyperlink ref="B25" r:id="rId24"/>
    <hyperlink ref="B26" r:id="rId25"/>
    <hyperlink ref="B27" r:id="rId26"/>
    <hyperlink ref="B28" r:id="rId27"/>
    <hyperlink ref="B29" r:id="rId28"/>
    <hyperlink ref="B30" r:id="rId29"/>
    <hyperlink ref="B31" r:id="rId30"/>
    <hyperlink ref="B32" r:id="rId31"/>
    <hyperlink ref="B33" r:id="rId32"/>
    <hyperlink ref="B34" r:id="rId33"/>
    <hyperlink ref="B35" r:id="rId34"/>
    <hyperlink ref="B36" r:id="rId35"/>
    <hyperlink ref="B37" r:id="rId36"/>
    <hyperlink ref="B38" r:id="rId37"/>
    <hyperlink ref="B39" r:id="rId38"/>
    <hyperlink ref="B40" r:id="rId39"/>
    <hyperlink ref="B41" r:id="rId40"/>
    <hyperlink ref="B42" r:id="rId41"/>
    <hyperlink ref="B43" r:id="rId42"/>
    <hyperlink ref="B44" r:id="rId43"/>
    <hyperlink ref="B45" r:id="rId44"/>
    <hyperlink ref="B46" r:id="rId45"/>
    <hyperlink ref="B47" r:id="rId46"/>
    <hyperlink ref="B48" r:id="rId47"/>
    <hyperlink ref="B49" r:id="rId48"/>
    <hyperlink ref="B50" r:id="rId49"/>
    <hyperlink ref="B51" r:id="rId50"/>
    <hyperlink ref="B52" r:id="rId51"/>
    <hyperlink ref="B53" r:id="rId52"/>
    <hyperlink ref="B54" r:id="rId53"/>
    <hyperlink ref="B55" r:id="rId54"/>
    <hyperlink ref="B56" r:id="rId55"/>
    <hyperlink ref="B57" r:id="rId56"/>
    <hyperlink ref="B58" r:id="rId57"/>
    <hyperlink ref="B59" r:id="rId58"/>
    <hyperlink ref="B60" r:id="rId59"/>
    <hyperlink ref="B61" r:id="rId60"/>
    <hyperlink ref="B62" r:id="rId61"/>
    <hyperlink ref="B63" r:id="rId62"/>
    <hyperlink ref="B64" r:id="rId63"/>
    <hyperlink ref="B65" r:id="rId64"/>
    <hyperlink ref="B66" r:id="rId65"/>
    <hyperlink ref="B67" r:id="rId66"/>
    <hyperlink ref="B68" r:id="rId67"/>
    <hyperlink ref="B69" r:id="rId68"/>
    <hyperlink ref="B70" r:id="rId69"/>
    <hyperlink ref="B71" r:id="rId70"/>
    <hyperlink ref="B72" r:id="rId71"/>
    <hyperlink ref="B73" r:id="rId72"/>
    <hyperlink ref="B74" r:id="rId73"/>
    <hyperlink ref="B75" r:id="rId74"/>
    <hyperlink ref="B76" r:id="rId75"/>
    <hyperlink ref="B77" r:id="rId76"/>
    <hyperlink ref="B78" r:id="rId77"/>
    <hyperlink ref="B79" r:id="rId78"/>
    <hyperlink ref="B80" r:id="rId79"/>
    <hyperlink ref="B81" r:id="rId80"/>
    <hyperlink ref="B82" r:id="rId81"/>
    <hyperlink ref="B83" r:id="rId82"/>
    <hyperlink ref="B84" r:id="rId83"/>
    <hyperlink ref="B85" r:id="rId84"/>
    <hyperlink ref="B86" r:id="rId85"/>
    <hyperlink ref="B87" r:id="rId86"/>
    <hyperlink ref="B88" r:id="rId87"/>
    <hyperlink ref="B89" r:id="rId88"/>
    <hyperlink ref="B90" r:id="rId89"/>
    <hyperlink ref="B91" r:id="rId90"/>
    <hyperlink ref="B92" r:id="rId91"/>
    <hyperlink ref="B93" r:id="rId92"/>
    <hyperlink ref="B94" r:id="rId93"/>
    <hyperlink ref="B95" r:id="rId94"/>
    <hyperlink ref="B96" r:id="rId95"/>
    <hyperlink ref="B97" r:id="rId96"/>
    <hyperlink ref="B98" r:id="rId97"/>
    <hyperlink ref="B99" r:id="rId98"/>
    <hyperlink ref="B100" r:id="rId99"/>
    <hyperlink ref="B101" r:id="rId100"/>
    <hyperlink ref="B102" r:id="rId101"/>
    <hyperlink ref="B103" r:id="rId102"/>
    <hyperlink ref="B104" r:id="rId103"/>
    <hyperlink ref="B105" r:id="rId104"/>
    <hyperlink ref="B106" r:id="rId105"/>
    <hyperlink ref="B107" r:id="rId106"/>
    <hyperlink ref="B109" r:id="rId107"/>
    <hyperlink ref="B110" r:id="rId108"/>
    <hyperlink ref="B111" r:id="rId109"/>
    <hyperlink ref="B112" r:id="rId110"/>
    <hyperlink ref="B113" r:id="rId111"/>
    <hyperlink ref="B114" r:id="rId112"/>
    <hyperlink ref="B115" r:id="rId113"/>
    <hyperlink ref="B116" r:id="rId114"/>
    <hyperlink ref="B117" r:id="rId115"/>
    <hyperlink ref="B118" r:id="rId116"/>
    <hyperlink ref="B119" r:id="rId117"/>
    <hyperlink ref="B121" r:id="rId118"/>
    <hyperlink ref="B122" r:id="rId119"/>
    <hyperlink ref="B123" r:id="rId120"/>
    <hyperlink ref="B124" r:id="rId121"/>
    <hyperlink ref="B125" r:id="rId122"/>
    <hyperlink ref="B126" r:id="rId123"/>
    <hyperlink ref="B127" r:id="rId124"/>
    <hyperlink ref="B128" r:id="rId125"/>
    <hyperlink ref="B129" r:id="rId126"/>
    <hyperlink ref="B130" r:id="rId127"/>
    <hyperlink ref="B131" r:id="rId128"/>
    <hyperlink ref="B132" r:id="rId129"/>
    <hyperlink ref="B133" r:id="rId130"/>
    <hyperlink ref="B134" r:id="rId131"/>
    <hyperlink ref="B135" r:id="rId132"/>
    <hyperlink ref="B136" r:id="rId133"/>
    <hyperlink ref="B137" r:id="rId134"/>
    <hyperlink ref="B138" r:id="rId135"/>
    <hyperlink ref="B139" r:id="rId136"/>
    <hyperlink ref="B140" r:id="rId137"/>
    <hyperlink ref="B141" r:id="rId138"/>
    <hyperlink ref="B143" r:id="rId139"/>
    <hyperlink ref="B146" r:id="rId140"/>
    <hyperlink ref="B148" r:id="rId141"/>
    <hyperlink ref="B149" r:id="rId142"/>
    <hyperlink ref="B150" r:id="rId143"/>
    <hyperlink ref="B151" r:id="rId144"/>
    <hyperlink ref="B152" r:id="rId145"/>
    <hyperlink ref="B153" r:id="rId146"/>
    <hyperlink ref="B154" r:id="rId147"/>
    <hyperlink ref="B156" r:id="rId148"/>
    <hyperlink ref="B157" r:id="rId149"/>
    <hyperlink ref="B158" r:id="rId150"/>
    <hyperlink ref="B159" r:id="rId151"/>
    <hyperlink ref="B160" r:id="rId152"/>
    <hyperlink ref="B161" r:id="rId153"/>
    <hyperlink ref="B162" r:id="rId154"/>
    <hyperlink ref="B163" r:id="rId155"/>
    <hyperlink ref="B166" r:id="rId156"/>
    <hyperlink ref="B200" r:id="rId157"/>
    <hyperlink ref="B201" r:id="rId158"/>
    <hyperlink ref="B224" r:id="rId159"/>
    <hyperlink ref="B225" r:id="rId160"/>
    <hyperlink ref="B240" r:id="rId161"/>
    <hyperlink ref="B254" r:id="rId162"/>
    <hyperlink ref="B298" r:id="rId163"/>
    <hyperlink ref="B313" r:id="rId164"/>
    <hyperlink ref="B317" r:id="rId165"/>
    <hyperlink ref="B330" r:id="rId166"/>
    <hyperlink ref="B342" r:id="rId167"/>
    <hyperlink ref="B351" r:id="rId168"/>
    <hyperlink ref="B356" r:id="rId169"/>
    <hyperlink ref="B357" r:id="rId170"/>
    <hyperlink ref="B358" r:id="rId171"/>
    <hyperlink ref="B359" r:id="rId172"/>
    <hyperlink ref="B362" r:id="rId173"/>
    <hyperlink ref="B363" r:id="rId174"/>
  </hyperlinks>
  <pageMargins left="0.7" right="0.7" top="0.75" bottom="0.75" header="0.3" footer="0.3"/>
  <pageSetup paperSize="9" orientation="portrait" verticalDpi="0" r:id="rId175"/>
  <drawing r:id="rId176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Парсинг</vt:lpstr>
      <vt:lpstr>Расчёты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Жень шень</dc:creator>
  <cp:lastModifiedBy>Natilius Natilius</cp:lastModifiedBy>
  <dcterms:created xsi:type="dcterms:W3CDTF">2023-04-13T06:33:35Z</dcterms:created>
  <dcterms:modified xsi:type="dcterms:W3CDTF">2023-06-04T10:10:38Z</dcterms:modified>
</cp:coreProperties>
</file>